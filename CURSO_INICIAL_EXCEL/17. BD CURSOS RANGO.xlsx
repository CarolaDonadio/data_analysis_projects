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as\"/>
    </mc:Choice>
  </mc:AlternateContent>
  <xr:revisionPtr revIDLastSave="0" documentId="13_ncr:1_{7AF8F257-669A-4176-85F5-C9815235A323}" xr6:coauthVersionLast="47" xr6:coauthVersionMax="47" xr10:uidLastSave="{00000000-0000-0000-0000-000000000000}"/>
  <bookViews>
    <workbookView xWindow="-120" yWindow="-120" windowWidth="20730" windowHeight="11160" activeTab="2" xr2:uid="{36A04AEB-DE91-499B-8B0B-1831A8FE656D}"/>
  </bookViews>
  <sheets>
    <sheet name="CURSOS" sheetId="1" r:id="rId1"/>
    <sheet name="CALCULOS" sheetId="2" r:id="rId2"/>
    <sheet name="CALCULOS2" sheetId="3" r:id="rId3"/>
  </sheets>
  <definedNames>
    <definedName name="_xlnm._FilterDatabase" localSheetId="0" hidden="1">CURSOS!$B$1:$N$363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2" i="3"/>
  <c r="B1" i="3"/>
  <c r="C21" i="2"/>
  <c r="C20" i="2"/>
  <c r="D19" i="2"/>
  <c r="C19" i="2"/>
  <c r="B18" i="2"/>
  <c r="B17" i="2"/>
  <c r="B12" i="2"/>
  <c r="B7" i="2"/>
  <c r="B2" i="2"/>
  <c r="B1" i="2"/>
  <c r="B3" i="2"/>
</calcChain>
</file>

<file path=xl/sharedStrings.xml><?xml version="1.0" encoding="utf-8"?>
<sst xmlns="http://schemas.openxmlformats.org/spreadsheetml/2006/main" count="3653" uniqueCount="431">
  <si>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</si>
  <si>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</si>
  <si>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</si>
  <si>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</si>
  <si>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</si>
  <si>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</si>
  <si>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</si>
  <si>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</si>
  <si>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</si>
  <si>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</si>
  <si>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</si>
  <si>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</si>
  <si>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</si>
  <si>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</si>
  <si>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</si>
  <si>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</si>
  <si>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</si>
  <si>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</si>
  <si>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</si>
  <si>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</si>
  <si>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</si>
  <si>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</si>
  <si>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</si>
  <si>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</si>
  <si>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</si>
  <si>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</si>
  <si>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</si>
  <si>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</si>
  <si>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</si>
  <si>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</si>
  <si>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</si>
  <si>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</si>
  <si>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</si>
  <si>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</si>
  <si>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</si>
  <si>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</si>
  <si>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</si>
  <si>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</si>
  <si>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</si>
  <si>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</si>
  <si>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</si>
  <si>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</si>
  <si>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</si>
  <si>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</si>
  <si>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</si>
  <si>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</si>
  <si>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</si>
  <si>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</si>
  <si>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</si>
  <si>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</si>
  <si>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</si>
  <si>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</si>
  <si>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</si>
  <si>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</si>
  <si>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</si>
  <si>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</si>
  <si>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</si>
  <si>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</si>
  <si>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</si>
  <si>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</si>
  <si>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</si>
  <si>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</si>
  <si>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</si>
  <si>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</si>
  <si>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</si>
  <si>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</si>
  <si>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</si>
  <si>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</si>
  <si>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</si>
  <si>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</si>
  <si>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</si>
  <si>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</si>
  <si>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</si>
  <si>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</si>
  <si>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</si>
  <si>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</si>
  <si>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</si>
  <si>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</si>
  <si>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</si>
  <si>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</si>
  <si>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</si>
  <si>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</si>
  <si>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</si>
  <si>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</si>
  <si>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</si>
  <si>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</si>
  <si>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</si>
  <si>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</si>
  <si>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</si>
  <si>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</si>
  <si>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</si>
  <si>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</si>
  <si>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</si>
  <si>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</si>
  <si>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</si>
  <si>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</si>
  <si>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</si>
  <si>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</si>
  <si>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</si>
  <si>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</si>
  <si>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</si>
  <si>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</si>
  <si>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</si>
  <si>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</si>
  <si>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</si>
  <si>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</si>
  <si>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</si>
  <si>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</si>
  <si>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</si>
  <si>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</si>
  <si>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</si>
  <si>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</si>
  <si>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</si>
  <si>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</si>
  <si>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</si>
  <si>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</si>
  <si>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</si>
  <si>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</si>
  <si>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</si>
  <si>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</si>
  <si>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</si>
  <si>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</si>
  <si>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</si>
  <si>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</si>
  <si>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</si>
  <si>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</si>
  <si>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</si>
  <si>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</si>
  <si>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</si>
  <si>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</si>
  <si>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</si>
  <si>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</si>
  <si>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</si>
  <si>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</si>
  <si>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</si>
  <si>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</si>
  <si>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</si>
  <si>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</si>
  <si>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</si>
  <si>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</si>
  <si>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</si>
  <si>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</si>
  <si>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</si>
  <si>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</si>
  <si>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</si>
  <si>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</si>
  <si>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</si>
  <si>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</si>
  <si>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</si>
  <si>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</si>
  <si>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</si>
  <si>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</si>
  <si>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</si>
  <si>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</si>
  <si>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</si>
  <si>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</si>
  <si>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</si>
  <si>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</si>
  <si>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</si>
  <si>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</si>
  <si>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</si>
  <si>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</si>
  <si>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</si>
  <si>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</si>
  <si>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</si>
  <si>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</si>
  <si>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</si>
  <si>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</si>
  <si>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</si>
  <si>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</si>
  <si>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</si>
  <si>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</si>
  <si>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</si>
  <si>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</si>
  <si>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</si>
  <si>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</si>
  <si>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</si>
  <si>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</si>
  <si>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</si>
  <si>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</si>
  <si>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</si>
  <si>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</si>
  <si>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</si>
  <si>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</si>
  <si>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</si>
  <si>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</si>
  <si>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</si>
  <si>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</si>
  <si>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</si>
  <si>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</si>
  <si>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</si>
  <si>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</si>
  <si>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</si>
  <si>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</si>
  <si>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</si>
  <si>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</si>
  <si>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</si>
  <si>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</si>
  <si>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</si>
  <si>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</si>
  <si>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</si>
  <si>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</si>
  <si>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</si>
  <si>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</si>
  <si>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</si>
  <si>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</si>
  <si>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</si>
  <si>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</si>
  <si>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</si>
  <si>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</si>
  <si>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</si>
  <si>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</si>
  <si>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</si>
  <si>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</si>
  <si>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</si>
  <si>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</si>
  <si>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</si>
  <si>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</si>
  <si>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</si>
  <si>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</si>
  <si>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</si>
  <si>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</si>
  <si>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</si>
  <si>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</si>
  <si>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</si>
  <si>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</si>
  <si>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</si>
  <si>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</si>
  <si>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</si>
  <si>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</si>
  <si>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</si>
  <si>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</si>
  <si>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</si>
  <si>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</si>
  <si>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</si>
  <si>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</si>
  <si>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</si>
  <si>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</si>
  <si>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</si>
  <si>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</si>
  <si>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</si>
  <si>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</si>
  <si>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</si>
  <si>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</si>
  <si>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</si>
  <si>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</si>
  <si>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</si>
  <si>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</si>
  <si>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</si>
  <si>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</si>
  <si>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</si>
  <si>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</si>
  <si>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</si>
  <si>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</si>
  <si>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</si>
  <si>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</si>
  <si>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</si>
  <si>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</si>
  <si>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</si>
  <si>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</si>
  <si>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</si>
  <si>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</si>
  <si>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</si>
  <si>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</si>
  <si>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</si>
  <si>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</si>
  <si>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</si>
  <si>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</si>
  <si>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</si>
  <si>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</si>
  <si>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</si>
  <si>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</si>
  <si>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</si>
  <si>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</si>
  <si>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</si>
  <si>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</si>
  <si>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</si>
  <si>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</si>
  <si>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</si>
  <si>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</si>
  <si>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</si>
  <si>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</si>
  <si>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</si>
  <si>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</si>
  <si>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</si>
  <si>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</si>
  <si>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</si>
  <si>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</si>
  <si>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</si>
  <si>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</si>
  <si>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</si>
  <si>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</si>
  <si>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</si>
  <si>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</si>
  <si>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</si>
  <si>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</si>
  <si>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</si>
  <si>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</si>
  <si>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</si>
  <si>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</si>
  <si>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</si>
  <si>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</si>
  <si>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</si>
  <si>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</si>
  <si>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</si>
  <si>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</si>
  <si>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</si>
  <si>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</si>
  <si>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</si>
  <si>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</si>
  <si>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</si>
  <si>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</si>
  <si>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</si>
  <si>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</si>
  <si>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</si>
  <si>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</si>
  <si>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</si>
  <si>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</si>
  <si>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</si>
  <si>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</si>
  <si>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</si>
  <si>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</si>
  <si>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</si>
  <si>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</si>
  <si>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</si>
  <si>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</si>
  <si>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</si>
  <si>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</si>
  <si>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</si>
  <si>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</si>
  <si>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</si>
  <si>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</si>
  <si>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</si>
  <si>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</si>
  <si>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</si>
  <si>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</si>
  <si>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</si>
  <si>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</si>
  <si>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</si>
  <si>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</si>
  <si>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</si>
  <si>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</si>
  <si>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</si>
  <si>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</si>
  <si>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</si>
  <si>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</si>
  <si>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</si>
  <si>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</si>
  <si>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</si>
  <si>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</si>
  <si>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</si>
  <si>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</si>
  <si>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</si>
  <si>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</si>
  <si>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</si>
  <si>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</si>
  <si>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</si>
  <si>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</si>
  <si>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</si>
  <si>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</si>
  <si>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</si>
  <si>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</si>
  <si>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</si>
  <si>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</si>
  <si>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</si>
  <si>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</si>
  <si>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</si>
  <si>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</si>
  <si>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</si>
  <si>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</si>
  <si>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</si>
  <si>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</si>
  <si>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</si>
  <si>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</si>
  <si>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</si>
  <si>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</si>
  <si>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</si>
  <si>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</si>
  <si>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</si>
  <si>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</si>
  <si>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</si>
  <si>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</si>
  <si>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</si>
  <si>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</si>
  <si>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</si>
  <si>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</si>
  <si>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</si>
  <si>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</si>
  <si>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</si>
  <si>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</si>
  <si>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</si>
  <si>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</si>
  <si>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</si>
  <si>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</si>
  <si>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</si>
  <si>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</si>
  <si>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</si>
  <si>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</si>
  <si>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</si>
  <si>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</si>
  <si>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</si>
  <si>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</si>
  <si>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</si>
  <si>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</si>
  <si>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</si>
  <si>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</si>
  <si>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</si>
  <si>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</si>
  <si>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</si>
  <si>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</si>
  <si>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</si>
  <si>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</si>
  <si>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</si>
  <si>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</si>
  <si>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</si>
  <si>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</si>
  <si>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 GASTO</t>
  </si>
  <si>
    <t>DURACIONES</t>
  </si>
  <si>
    <t>SUMA IMPORTE CLIENTE E IMPORTE COMERCIAL</t>
  </si>
  <si>
    <t>FUNCIÓN SUMA</t>
  </si>
  <si>
    <t>FUNCIÓN CONTAR</t>
  </si>
  <si>
    <t>FUNCIÓN CONTARA</t>
  </si>
  <si>
    <t>FUNCIÓN CONTAR.SI</t>
  </si>
  <si>
    <t>DURACIÓN Y FECHA CURSO</t>
  </si>
  <si>
    <t>COLUMNA CURSO</t>
  </si>
  <si>
    <t>NUMERO CURSOS DE EXCEL</t>
  </si>
  <si>
    <t>NUMERO DE CURSOS CON DURACIÓN &lt;= 20</t>
  </si>
  <si>
    <t>NUMERO DE CURSOS EN JORNADA DE</t>
  </si>
  <si>
    <t>contar el número de cursos con importe cliente mayor de 1000.</t>
  </si>
  <si>
    <t>contar el número de cursos que no estén pagados por el cliente.</t>
  </si>
  <si>
    <t>contar el número de cursos donde el país no sea España.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</si>
</sst>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0" applyFont="1"/>
  </cellXfs>
  <cellStyles count="2">
    <cellStyle name="Euro" xfId="1" xr:uid="{4539F1CC-3952-420D-B576-B547C9CE8EC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1392-E9C1-4E46-9722-3A01BDB246B8}">
  <dimension ref="A1:O363"/>
  <sheetViews>
    <sheetView topLeftCell="F1" workbookViewId="0">
      <selection activeCell="C12" sqref="C12"/>
    </sheetView>
  </sheetViews>
  <sheetFormatPr baseColWidth="10" defaultColWidth="11.42578125" defaultRowHeight="12.75" x14ac:dyDescent="0.2"/>
  <cols>
    <col min="1" max="1" width="14.7109375" style="2" bestFit="1" customWidth="1"/>
    <col min="2" max="2" width="18.5703125" style="3" customWidth="1"/>
    <col min="3" max="3" width="13.42578125" style="3" bestFit="1" customWidth="1"/>
    <col min="4" max="4" width="16.42578125" style="3" customWidth="1"/>
    <col min="5" max="5" width="20.5703125" style="3" bestFit="1" customWidth="1"/>
    <col min="6" max="6" width="17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21.5703125" style="3" customWidth="1"/>
    <col min="11" max="11" width="24.140625" style="3" bestFit="1" customWidth="1"/>
    <col min="12" max="12" width="15.7109375" style="3" bestFit="1" customWidth="1"/>
    <col min="13" max="13" width="11.42578125" style="2"/>
    <col min="14" max="14" width="12.5703125" style="2" bestFit="1" customWidth="1"/>
    <col min="15" max="15" width="16.7109375" style="2" bestFit="1" customWidth="1"/>
    <col min="16" max="16384" width="11.42578125" style="2"/>
  </cols>
  <sheetData>
    <row r="1" spans="1:15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93F3-2ECA-4B9E-BDF3-BCEA4E097CA2}">
  <dimension ref="A1:D21"/>
  <sheetViews>
    <sheetView workbookViewId="0">
      <selection activeCell="B7" sqref="B7"/>
    </sheetView>
  </sheetViews>
  <sheetFormatPr baseColWidth="10" defaultRowHeight="12.75" x14ac:dyDescent="0.2"/>
  <cols>
    <col min="1" max="1" width="46.42578125" bestFit="1" customWidth="1"/>
    <col min="4" max="4" width="19.7109375" bestFit="1" customWidth="1"/>
  </cols>
  <sheetData>
    <row r="1" spans="1:4" x14ac:dyDescent="0.2">
      <c r="A1" t="s">
        <v>416</v>
      </c>
      <c r="B1">
        <f>SUM(CURSOS!G2:G363,CURSOS!K2:K363)</f>
        <v>131949.65000000002</v>
      </c>
    </row>
    <row r="2" spans="1:4" x14ac:dyDescent="0.2">
      <c r="A2" t="s">
        <v>417</v>
      </c>
      <c r="B2">
        <f>SUM(CURSOS!C2,CURSOS!C363)</f>
        <v>40</v>
      </c>
      <c r="D2" t="s">
        <v>419</v>
      </c>
    </row>
    <row r="3" spans="1:4" x14ac:dyDescent="0.2">
      <c r="A3" t="s">
        <v>418</v>
      </c>
      <c r="B3">
        <f>SUM(CURSOS!E2:E363,CURSOS!K2:K363)</f>
        <v>331946.64999999997</v>
      </c>
    </row>
    <row r="7" spans="1:4" x14ac:dyDescent="0.2">
      <c r="A7" t="s">
        <v>423</v>
      </c>
      <c r="B7">
        <f>COUNT(CURSOS!C2:C363,CURSOS!H2:H363)</f>
        <v>724</v>
      </c>
      <c r="D7" t="s">
        <v>420</v>
      </c>
    </row>
    <row r="12" spans="1:4" x14ac:dyDescent="0.2">
      <c r="A12" t="s">
        <v>424</v>
      </c>
      <c r="B12">
        <f>COUNTA(CURSOS!B2:B363)</f>
        <v>362</v>
      </c>
      <c r="D12" t="s">
        <v>421</v>
      </c>
    </row>
    <row r="17" spans="1:4" x14ac:dyDescent="0.2">
      <c r="A17" t="s">
        <v>425</v>
      </c>
      <c r="B17">
        <f>COUNTIF(CURSOS!B2:B363,"EXCEL")</f>
        <v>89</v>
      </c>
      <c r="D17" t="s">
        <v>422</v>
      </c>
    </row>
    <row r="18" spans="1:4" x14ac:dyDescent="0.2">
      <c r="A18" t="s">
        <v>426</v>
      </c>
      <c r="B18">
        <f>COUNTIF(CURSOS!C2:C363,"&lt;=20")</f>
        <v>193</v>
      </c>
    </row>
    <row r="19" spans="1:4" x14ac:dyDescent="0.2">
      <c r="A19" t="s">
        <v>427</v>
      </c>
      <c r="B19" t="s">
        <v>19</v>
      </c>
      <c r="C19">
        <f>COUNTIF(CURSOS!I2:I363,"MAÑANA")</f>
        <v>73</v>
      </c>
      <c r="D19">
        <f>COUNTIF(CURSOS!I2:I363,CALCULOS!B19)</f>
        <v>73</v>
      </c>
    </row>
    <row r="20" spans="1:4" x14ac:dyDescent="0.2">
      <c r="B20" t="s">
        <v>28</v>
      </c>
      <c r="C20">
        <f>COUNTIF(CURSOS!I2:I363,B20)</f>
        <v>153</v>
      </c>
    </row>
    <row r="21" spans="1:4" x14ac:dyDescent="0.2">
      <c r="B21" t="s">
        <v>57</v>
      </c>
      <c r="C21">
        <f>COUNTIF(CURSOS!I2:I363,CALCULOS!B21)</f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456F-D93F-4BA8-B8B9-1F38089D5C79}">
  <dimension ref="A1:B3"/>
  <sheetViews>
    <sheetView tabSelected="1" workbookViewId="0">
      <selection activeCell="B1" sqref="B1"/>
    </sheetView>
  </sheetViews>
  <sheetFormatPr baseColWidth="10" defaultRowHeight="12.75" x14ac:dyDescent="0.2"/>
  <cols>
    <col min="1" max="1" width="65.85546875" bestFit="1" customWidth="1"/>
  </cols>
  <sheetData>
    <row r="1" spans="1:2" ht="15" x14ac:dyDescent="0.2">
      <c r="A1" s="6" t="s">
        <v>428</v>
      </c>
      <c r="B1">
        <f>COUNTIF(CURSOS!E2:E363,"&gt;1000")</f>
        <v>91</v>
      </c>
    </row>
    <row r="2" spans="1:2" ht="15" x14ac:dyDescent="0.2">
      <c r="A2" s="6" t="s">
        <v>429</v>
      </c>
      <c r="B2">
        <f>COUNTIF(CURSOS!L2:L363,"NO")</f>
        <v>103</v>
      </c>
    </row>
    <row r="3" spans="1:2" ht="15" x14ac:dyDescent="0.2">
      <c r="A3" s="6" t="s">
        <v>430</v>
      </c>
      <c r="B3">
        <f>COUNTIF(CURSOS!M2:M363,"&lt;&gt;ESPAÑA")</f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CURSOS</vt:lpstr>
      <vt:lpstr>CALCULOS</vt:lpstr>
      <vt:lpstr>CALCULOS2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data Student_</cp:lastModifiedBy>
  <dcterms:created xsi:type="dcterms:W3CDTF">2024-02-19T12:52:16Z</dcterms:created>
  <dcterms:modified xsi:type="dcterms:W3CDTF">2026-07-26T01:26:57Z</dcterms:modified>
</cp:coreProperties>
</file>