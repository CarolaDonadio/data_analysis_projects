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64728E50-C404-4FD6-8DBA-91AF37DE7B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0" i="2"/>
  <c r="F19" i="2"/>
  <c r="F10" i="2"/>
  <c r="F11" i="2"/>
  <c r="F12" i="2"/>
  <c r="F13" i="2"/>
  <c r="F14" i="2"/>
  <c r="F15" i="2"/>
  <c r="F16" i="2"/>
  <c r="F17" i="2"/>
  <c r="F18" i="2"/>
  <c r="F8" i="2"/>
  <c r="F9" i="2"/>
  <c r="F3" i="2"/>
  <c r="F4" i="2"/>
  <c r="F5" i="2"/>
  <c r="F6" i="2"/>
  <c r="F7" i="2"/>
  <c r="F2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18" i="2"/>
  <c r="D17" i="2"/>
  <c r="D16" i="2"/>
  <c r="D13" i="2"/>
  <c r="D14" i="2"/>
  <c r="D15" i="2"/>
  <c r="D11" i="2"/>
  <c r="D12" i="2"/>
  <c r="D8" i="2"/>
  <c r="D9" i="2"/>
  <c r="D10" i="2"/>
  <c r="D3" i="2"/>
  <c r="D4" i="2"/>
  <c r="D5" i="2"/>
  <c r="D6" i="2"/>
  <c r="D7" i="2"/>
  <c r="D2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15" i="2"/>
  <c r="C16" i="2"/>
  <c r="C17" i="2"/>
  <c r="C18" i="2"/>
  <c r="C19" i="2"/>
  <c r="C5" i="2"/>
  <c r="C6" i="2"/>
  <c r="C7" i="2"/>
  <c r="C8" i="2"/>
  <c r="C9" i="2"/>
  <c r="C10" i="2"/>
  <c r="C11" i="2"/>
  <c r="C12" i="2"/>
  <c r="C13" i="2"/>
  <c r="C14" i="2"/>
  <c r="C4" i="2"/>
  <c r="C3" i="2"/>
  <c r="C2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<sst xmlns="http://schemas.openxmlformats.org/spreadsheetml/2006/main" count="75" uniqueCount="30">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</sst>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164" fontId="2" fillId="0" borderId="0" xfId="2" applyNumberFormat="1" applyFont="1" applyAlignment="1">
      <alignment horizontal="center" vertical="center" wrapText="1"/>
    </xf>
    <xf numFmtId="164" fontId="0" fillId="0" borderId="0" xfId="2" applyNumberFormat="1" applyFont="1" applyAlignment="1">
      <alignment vertical="center"/>
    </xf>
    <xf numFmtId="164" fontId="0" fillId="0" borderId="0" xfId="2" applyNumberFormat="1" applyFont="1" applyAlignment="1">
      <alignment horizontal="left" vertical="center"/>
    </xf>
  </cellXfs>
  <cellStyles count="3">
    <cellStyle name="Euro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2" sqref="D2"/>
    </sheetView>
  </sheetViews>
  <sheetFormatPr baseColWidth="10" defaultColWidth="11.42578125" defaultRowHeight="12.75" x14ac:dyDescent="0.2"/>
  <cols>
    <col min="1" max="1" width="12.5703125" style="2" bestFit="1" customWidth="1"/>
    <col min="2" max="2" width="15.28515625" bestFit="1" customWidth="1"/>
    <col min="3" max="3" width="12.5703125" style="2" bestFit="1" customWidth="1"/>
    <col min="4" max="4" width="9.7109375" style="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H11" sqref="H11"/>
    </sheetView>
  </sheetViews>
  <sheetFormatPr baseColWidth="10" defaultColWidth="11.42578125" defaultRowHeight="12.75" x14ac:dyDescent="0.2"/>
  <cols>
    <col min="1" max="1" width="12.5703125" style="8" bestFit="1" customWidth="1"/>
    <col min="2" max="2" width="10.42578125" style="8" bestFit="1" customWidth="1"/>
    <col min="3" max="3" width="15.28515625" style="8" bestFit="1" customWidth="1"/>
    <col min="4" max="4" width="10.42578125" style="12" bestFit="1" customWidth="1"/>
    <col min="5" max="5" width="10.140625" style="8" bestFit="1" customWidth="1"/>
    <col min="6" max="6" width="12.5703125" style="8" bestFit="1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ht="25.5" x14ac:dyDescent="0.2">
      <c r="A1" s="6" t="s">
        <v>0</v>
      </c>
      <c r="B1" s="7" t="s">
        <v>26</v>
      </c>
      <c r="C1" s="7" t="s">
        <v>27</v>
      </c>
      <c r="D1" s="10" t="s">
        <v>28</v>
      </c>
      <c r="E1" s="7" t="s">
        <v>29</v>
      </c>
      <c r="F1" s="6" t="s">
        <v>2</v>
      </c>
    </row>
    <row r="2" spans="1:6" s="5" customFormat="1" x14ac:dyDescent="0.2">
      <c r="A2" s="5" t="s">
        <v>4</v>
      </c>
      <c r="B2" s="5">
        <v>18</v>
      </c>
      <c r="C2" s="5" t="str">
        <f>VLOOKUP(A2,ARTICULOS!$A$2:$D$11,2,0)</f>
        <v>MODEM</v>
      </c>
      <c r="D2" s="11">
        <f>VLOOKUP(A2,ARTICULOS!$A$1:$D$11,4,FALSE)</f>
        <v>50</v>
      </c>
      <c r="E2" s="9">
        <v>37299</v>
      </c>
      <c r="F2" s="5" t="str">
        <f>VLOOKUP(A2,ARTICULOS!$A$2:$D$11,3,0)</f>
        <v>P001</v>
      </c>
    </row>
    <row r="3" spans="1:6" s="5" customFormat="1" x14ac:dyDescent="0.2">
      <c r="A3" s="5" t="s">
        <v>7</v>
      </c>
      <c r="B3" s="5">
        <v>20</v>
      </c>
      <c r="C3" s="5" t="str">
        <f>VLOOKUP(A3,ARTICULOS!$A$1:$D$11,2,FALSE)</f>
        <v>RATON</v>
      </c>
      <c r="D3" s="11">
        <f>VLOOKUP(A3,ARTICULOS!$A$1:$D$11,4,FALSE)</f>
        <v>10</v>
      </c>
      <c r="E3" s="9">
        <v>37340</v>
      </c>
      <c r="F3" s="5" t="str">
        <f>VLOOKUP(A3,ARTICULOS!$A$2:$D$11,3,0)</f>
        <v>P001</v>
      </c>
    </row>
    <row r="4" spans="1:6" s="5" customFormat="1" x14ac:dyDescent="0.2">
      <c r="A4" s="5" t="s">
        <v>9</v>
      </c>
      <c r="B4" s="5">
        <v>30</v>
      </c>
      <c r="C4" s="5" t="str">
        <f>VLOOKUP(COMPRAS!A4,ARTICULOS!$A$1:$D$11,2,0)</f>
        <v>TECLADO</v>
      </c>
      <c r="D4" s="11">
        <f>VLOOKUP(A4,ARTICULOS!$A$1:$D$11,4,FALSE)</f>
        <v>12</v>
      </c>
      <c r="E4" s="9">
        <v>37346</v>
      </c>
      <c r="F4" s="5" t="str">
        <f>VLOOKUP(A4,ARTICULOS!$A$2:$D$11,3,0)</f>
        <v>P001</v>
      </c>
    </row>
    <row r="5" spans="1:6" s="5" customFormat="1" x14ac:dyDescent="0.2">
      <c r="A5" s="5" t="s">
        <v>4</v>
      </c>
      <c r="B5" s="5">
        <v>35</v>
      </c>
      <c r="C5" s="5" t="str">
        <f>VLOOKUP(COMPRAS!A5,ARTICULOS!$A$1:$D$11,2,0)</f>
        <v>MODEM</v>
      </c>
      <c r="D5" s="11">
        <f>VLOOKUP(A5,ARTICULOS!$A$1:$D$11,4,FALSE)</f>
        <v>50</v>
      </c>
      <c r="E5" s="9">
        <v>37370</v>
      </c>
      <c r="F5" s="5" t="str">
        <f>VLOOKUP(A5,ARTICULOS!$A$2:$D$11,3,0)</f>
        <v>P001</v>
      </c>
    </row>
    <row r="6" spans="1:6" s="5" customFormat="1" x14ac:dyDescent="0.2">
      <c r="A6" s="5" t="s">
        <v>11</v>
      </c>
      <c r="B6" s="5">
        <v>40</v>
      </c>
      <c r="C6" s="5" t="str">
        <f>VLOOKUP(COMPRAS!A6,ARTICULOS!$A$1:$D$11,2,0)</f>
        <v>TORRE</v>
      </c>
      <c r="D6" s="11">
        <f>VLOOKUP(A6,ARTICULOS!$A$1:$D$11,4,FALSE)</f>
        <v>200</v>
      </c>
      <c r="E6" s="9">
        <v>37376</v>
      </c>
      <c r="F6" s="5" t="str">
        <f>VLOOKUP(A6,ARTICULOS!$A$2:$D$11,3,0)</f>
        <v>P002</v>
      </c>
    </row>
    <row r="7" spans="1:6" s="5" customFormat="1" x14ac:dyDescent="0.2">
      <c r="A7" s="5" t="s">
        <v>9</v>
      </c>
      <c r="B7" s="5">
        <v>10</v>
      </c>
      <c r="C7" s="5" t="str">
        <f>VLOOKUP(COMPRAS!A7,ARTICULOS!$A$1:$D$11,2,0)</f>
        <v>TECLADO</v>
      </c>
      <c r="D7" s="11">
        <f>VLOOKUP(A7,ARTICULOS!$A$1:$D$11,4,FALSE)</f>
        <v>12</v>
      </c>
      <c r="E7" s="9">
        <v>37401</v>
      </c>
      <c r="F7" s="5" t="str">
        <f>VLOOKUP(A7,ARTICULOS!$A$2:$D$11,3,0)</f>
        <v>P001</v>
      </c>
    </row>
    <row r="8" spans="1:6" s="5" customFormat="1" x14ac:dyDescent="0.2">
      <c r="A8" s="5" t="s">
        <v>4</v>
      </c>
      <c r="B8" s="5">
        <v>8</v>
      </c>
      <c r="C8" s="5" t="str">
        <f>VLOOKUP(COMPRAS!A8,ARTICULOS!$A$1:$D$11,2,0)</f>
        <v>MODEM</v>
      </c>
      <c r="D8" s="11">
        <f>VLOOKUP(A8,ARTICULOS!$A$1:$D$11,4,FALSE)</f>
        <v>50</v>
      </c>
      <c r="E8" s="9">
        <v>37404</v>
      </c>
      <c r="F8" s="5" t="str">
        <f>VLOOKUP(A8,ARTICULOS!$A$2:$D$11,3,0)</f>
        <v>P001</v>
      </c>
    </row>
    <row r="9" spans="1:6" s="5" customFormat="1" x14ac:dyDescent="0.2">
      <c r="A9" s="5" t="s">
        <v>14</v>
      </c>
      <c r="B9" s="5">
        <v>90</v>
      </c>
      <c r="C9" s="5" t="str">
        <f>VLOOKUP(COMPRAS!A9,ARTICULOS!$A$1:$D$11,2,0)</f>
        <v>CAJA</v>
      </c>
      <c r="D9" s="11">
        <f>VLOOKUP(A9,ARTICULOS!$A$1:$D$11,4,FALSE)</f>
        <v>150</v>
      </c>
      <c r="E9" s="9">
        <v>37408</v>
      </c>
      <c r="F9" s="5" t="str">
        <f>VLOOKUP(A9,ARTICULOS!$A$2:$D$11,3,0)</f>
        <v>P002</v>
      </c>
    </row>
    <row r="10" spans="1:6" s="5" customFormat="1" x14ac:dyDescent="0.2">
      <c r="A10" s="5" t="s">
        <v>16</v>
      </c>
      <c r="B10" s="5">
        <v>120</v>
      </c>
      <c r="C10" s="5" t="str">
        <f>VLOOKUP(COMPRAS!A10,ARTICULOS!$A$1:$D$11,2,0)</f>
        <v>MONITOR</v>
      </c>
      <c r="D10" s="11">
        <f>VLOOKUP(A10,ARTICULOS!$A$1:$D$11,4,FALSE)</f>
        <v>150</v>
      </c>
      <c r="E10" s="9">
        <v>37417</v>
      </c>
      <c r="F10" s="5" t="str">
        <f>VLOOKUP(A10,ARTICULOS!$A$2:$D$11,3,0)</f>
        <v>P001</v>
      </c>
    </row>
    <row r="11" spans="1:6" s="5" customFormat="1" x14ac:dyDescent="0.2">
      <c r="A11" s="5" t="s">
        <v>14</v>
      </c>
      <c r="B11" s="5">
        <v>90</v>
      </c>
      <c r="C11" s="5" t="str">
        <f>VLOOKUP(COMPRAS!A11,ARTICULOS!$A$1:$D$11,2,0)</f>
        <v>CAJA</v>
      </c>
      <c r="D11" s="11">
        <f>VLOOKUP(A11,ARTICULOS!$A$1:$D$11,4,FALSE)</f>
        <v>150</v>
      </c>
      <c r="E11" s="9">
        <v>37427</v>
      </c>
      <c r="F11" s="5" t="str">
        <f>VLOOKUP(A11,ARTICULOS!$A$2:$D$11,3,0)</f>
        <v>P002</v>
      </c>
    </row>
    <row r="12" spans="1:6" s="5" customFormat="1" x14ac:dyDescent="0.2">
      <c r="A12" s="5" t="s">
        <v>16</v>
      </c>
      <c r="B12" s="5">
        <v>65</v>
      </c>
      <c r="C12" s="5" t="str">
        <f>VLOOKUP(COMPRAS!A12,ARTICULOS!$A$1:$D$11,2,0)</f>
        <v>MONITOR</v>
      </c>
      <c r="D12" s="11">
        <f>VLOOKUP(A12,ARTICULOS!$A$1:$D$11,4,FALSE)</f>
        <v>150</v>
      </c>
      <c r="E12" s="9">
        <v>37444</v>
      </c>
      <c r="F12" s="5" t="str">
        <f>VLOOKUP(A12,ARTICULOS!$A$2:$D$11,3,0)</f>
        <v>P001</v>
      </c>
    </row>
    <row r="13" spans="1:6" s="5" customFormat="1" x14ac:dyDescent="0.2">
      <c r="A13" s="5" t="s">
        <v>11</v>
      </c>
      <c r="B13" s="5">
        <v>70</v>
      </c>
      <c r="C13" s="5" t="str">
        <f>VLOOKUP(COMPRAS!A13,ARTICULOS!$A$1:$D$11,2,0)</f>
        <v>TORRE</v>
      </c>
      <c r="D13" s="11">
        <f>VLOOKUP(A13,ARTICULOS!$A$1:$D$11,4,FALSE)</f>
        <v>200</v>
      </c>
      <c r="E13" s="9">
        <v>37504</v>
      </c>
      <c r="F13" s="5" t="str">
        <f>VLOOKUP(A13,ARTICULOS!$A$2:$D$11,3,0)</f>
        <v>P002</v>
      </c>
    </row>
    <row r="14" spans="1:6" s="5" customFormat="1" x14ac:dyDescent="0.2">
      <c r="A14" s="5" t="s">
        <v>9</v>
      </c>
      <c r="B14" s="5">
        <v>30</v>
      </c>
      <c r="C14" s="5" t="str">
        <f>VLOOKUP(COMPRAS!A14,ARTICULOS!$A$1:$D$11,2,0)</f>
        <v>TECLADO</v>
      </c>
      <c r="D14" s="11">
        <f>VLOOKUP(A14,ARTICULOS!$A$1:$D$11,4,FALSE)</f>
        <v>12</v>
      </c>
      <c r="E14" s="9">
        <v>37514</v>
      </c>
      <c r="F14" s="5" t="str">
        <f>VLOOKUP(A14,ARTICULOS!$A$2:$D$11,3,0)</f>
        <v>P001</v>
      </c>
    </row>
    <row r="15" spans="1:6" s="5" customFormat="1" x14ac:dyDescent="0.2">
      <c r="A15" s="5" t="s">
        <v>22</v>
      </c>
      <c r="B15" s="5">
        <v>20</v>
      </c>
      <c r="C15" s="5" t="str">
        <f>VLOOKUP(COMPRAS!A15,ARTICULOS!$A$1:$D$11,2,0)</f>
        <v>DISCO</v>
      </c>
      <c r="D15" s="11">
        <f>VLOOKUP(A15,ARTICULOS!$A$1:$D$11,4,FALSE)</f>
        <v>100</v>
      </c>
      <c r="E15" s="9">
        <v>37529</v>
      </c>
      <c r="F15" s="5" t="str">
        <f>VLOOKUP(A15,ARTICULOS!$A$2:$D$11,3,0)</f>
        <v>P002</v>
      </c>
    </row>
    <row r="16" spans="1:6" s="5" customFormat="1" x14ac:dyDescent="0.2">
      <c r="A16" s="5" t="s">
        <v>4</v>
      </c>
      <c r="B16" s="5">
        <v>45</v>
      </c>
      <c r="C16" s="5" t="str">
        <f>VLOOKUP(COMPRAS!A16,ARTICULOS!$A$1:$D$11,2,0)</f>
        <v>MODEM</v>
      </c>
      <c r="D16" s="11">
        <f>VLOOKUP(A16,ARTICULOS!$A$1:$D$11,4,0)</f>
        <v>50</v>
      </c>
      <c r="E16" s="9">
        <v>37541</v>
      </c>
      <c r="F16" s="5" t="str">
        <f>VLOOKUP(A16,ARTICULOS!$A$2:$D$11,3,0)</f>
        <v>P001</v>
      </c>
    </row>
    <row r="17" spans="1:6" s="5" customFormat="1" x14ac:dyDescent="0.2">
      <c r="A17" s="5" t="s">
        <v>22</v>
      </c>
      <c r="B17" s="5">
        <v>61</v>
      </c>
      <c r="C17" s="5" t="str">
        <f>VLOOKUP(COMPRAS!A17,ARTICULOS!$A$1:$D$11,2,0)</f>
        <v>DISCO</v>
      </c>
      <c r="D17" s="11">
        <f>VLOOKUP(A17,ARTICULOS!$A$2:$D$11,4,FALSE)</f>
        <v>100</v>
      </c>
      <c r="E17" s="9">
        <v>37547</v>
      </c>
      <c r="F17" s="5" t="str">
        <f>VLOOKUP(A17,ARTICULOS!$A$2:$D$11,3,0)</f>
        <v>P002</v>
      </c>
    </row>
    <row r="18" spans="1:6" s="5" customFormat="1" x14ac:dyDescent="0.2">
      <c r="A18" s="5" t="s">
        <v>14</v>
      </c>
      <c r="B18" s="5">
        <v>70</v>
      </c>
      <c r="C18" s="5" t="str">
        <f>VLOOKUP(COMPRAS!A18,ARTICULOS!$A$1:$D$11,2,0)</f>
        <v>CAJA</v>
      </c>
      <c r="D18" s="11">
        <f>VLOOKUP(A18,ARTICULOS!$A$2:$D$11,4,0)</f>
        <v>150</v>
      </c>
      <c r="E18" s="9">
        <v>37585</v>
      </c>
      <c r="F18" s="5" t="str">
        <f>VLOOKUP(A18,ARTICULOS!$A$2:$D$11,3,0)</f>
        <v>P002</v>
      </c>
    </row>
    <row r="19" spans="1:6" s="5" customFormat="1" x14ac:dyDescent="0.2">
      <c r="A19" s="5" t="s">
        <v>9</v>
      </c>
      <c r="B19" s="5">
        <v>75</v>
      </c>
      <c r="C19" s="5" t="str">
        <f>VLOOKUP(COMPRAS!A19,ARTICULOS!$A$1:$D$11,2,0)</f>
        <v>TECLADO</v>
      </c>
      <c r="D19" s="11">
        <f>VLOOKUP(A19,ARTICULOS!$A$2:$D$11,4,0)</f>
        <v>12</v>
      </c>
      <c r="E19" s="9">
        <v>37609</v>
      </c>
      <c r="F19" s="5" t="str">
        <f>VLOOKUP(A19,ARTICULOS!$A$2:$D$11,3,FALSE)</f>
        <v>P001</v>
      </c>
    </row>
    <row r="20" spans="1:6" s="5" customFormat="1" x14ac:dyDescent="0.2">
      <c r="A20" s="5" t="s">
        <v>9</v>
      </c>
      <c r="B20" s="5">
        <v>20</v>
      </c>
      <c r="C20" s="5" t="str">
        <f>VLOOKUP(COMPRAS!A20,ARTICULOS!$A$1:$D$11,2,0)</f>
        <v>TECLADO</v>
      </c>
      <c r="D20" s="11">
        <f>VLOOKUP(A20,ARTICULOS!$A$2:$D$11,4,0)</f>
        <v>12</v>
      </c>
      <c r="E20" s="9">
        <v>37626</v>
      </c>
      <c r="F20" s="5" t="str">
        <f>VLOOKUP(A20,ARTICULOS!$A$2:$D$11,3,FALSE)</f>
        <v>P001</v>
      </c>
    </row>
    <row r="21" spans="1:6" s="5" customFormat="1" x14ac:dyDescent="0.2">
      <c r="A21" s="5" t="s">
        <v>14</v>
      </c>
      <c r="B21" s="5">
        <v>150</v>
      </c>
      <c r="C21" s="5" t="str">
        <f>VLOOKUP(COMPRAS!A21,ARTICULOS!$A$1:$D$11,2,0)</f>
        <v>CAJA</v>
      </c>
      <c r="D21" s="11">
        <f>VLOOKUP(A21,ARTICULOS!$A$2:$D$11,4,0)</f>
        <v>150</v>
      </c>
      <c r="E21" s="9">
        <v>37636</v>
      </c>
      <c r="F21" s="5" t="str">
        <f>VLOOKUP(A21,ARTICULOS!$A$2:$D$11,3,FALSE)</f>
        <v>P002</v>
      </c>
    </row>
    <row r="22" spans="1:6" s="5" customFormat="1" x14ac:dyDescent="0.2">
      <c r="A22" s="5" t="s">
        <v>18</v>
      </c>
      <c r="B22" s="5">
        <v>40</v>
      </c>
      <c r="C22" s="5" t="str">
        <f>VLOOKUP(COMPRAS!A22,ARTICULOS!$A$1:$D$11,2,0)</f>
        <v>ALFOMBRILLA</v>
      </c>
      <c r="D22" s="11">
        <f>VLOOKUP(A22,ARTICULOS!$A$2:$D$11,4,0)</f>
        <v>3</v>
      </c>
      <c r="E22" s="9">
        <v>37662</v>
      </c>
      <c r="F22" s="5" t="str">
        <f>VLOOKUP(A22,ARTICULOS!$A$2:$D$11,3,FALSE)</f>
        <v>P001</v>
      </c>
    </row>
    <row r="23" spans="1:6" s="5" customFormat="1" x14ac:dyDescent="0.2">
      <c r="A23" s="5" t="s">
        <v>20</v>
      </c>
      <c r="B23" s="5">
        <v>80</v>
      </c>
      <c r="C23" s="5" t="str">
        <f>VLOOKUP(COMPRAS!A23,ARTICULOS!$A$1:$D$11,2,0)</f>
        <v>PROCESADOR</v>
      </c>
      <c r="D23" s="11">
        <f>VLOOKUP(A23,ARTICULOS!$A$2:$D$11,4,0)</f>
        <v>300</v>
      </c>
      <c r="E23" s="9">
        <v>37736</v>
      </c>
      <c r="F23" s="5" t="str">
        <f>VLOOKUP(A23,ARTICULOS!$A$2:$D$11,3,FALSE)</f>
        <v>P002</v>
      </c>
    </row>
    <row r="24" spans="1:6" s="5" customFormat="1" x14ac:dyDescent="0.2">
      <c r="A24" s="5" t="s">
        <v>16</v>
      </c>
      <c r="B24" s="5">
        <v>100</v>
      </c>
      <c r="C24" s="5" t="str">
        <f>VLOOKUP(COMPRAS!A24,ARTICULOS!$A$1:$D$11,2,0)</f>
        <v>MONITOR</v>
      </c>
      <c r="D24" s="11">
        <f>VLOOKUP(A24,ARTICULOS!$A$2:$D$11,4,0)</f>
        <v>150</v>
      </c>
      <c r="E24" s="9">
        <v>37771</v>
      </c>
      <c r="F24" s="5" t="str">
        <f>VLOOKUP(A24,ARTICULOS!$A$2:$D$11,3,FALSE)</f>
        <v>P001</v>
      </c>
    </row>
    <row r="25" spans="1:6" s="5" customFormat="1" x14ac:dyDescent="0.2">
      <c r="A25" s="5" t="s">
        <v>20</v>
      </c>
      <c r="B25" s="5">
        <v>150</v>
      </c>
      <c r="C25" s="5" t="str">
        <f>VLOOKUP(COMPRAS!A25,ARTICULOS!$A$1:$D$11,2,0)</f>
        <v>PROCESADOR</v>
      </c>
      <c r="D25" s="11">
        <f>VLOOKUP(A25,ARTICULOS!$A$2:$D$11,4,0)</f>
        <v>300</v>
      </c>
      <c r="E25" s="9">
        <v>37773</v>
      </c>
      <c r="F25" s="5" t="str">
        <f>VLOOKUP(A25,ARTICULOS!$A$2:$D$11,3,FALSE)</f>
        <v>P002</v>
      </c>
    </row>
    <row r="26" spans="1:6" s="5" customFormat="1" x14ac:dyDescent="0.2">
      <c r="A26" s="5" t="s">
        <v>4</v>
      </c>
      <c r="B26" s="5">
        <v>125</v>
      </c>
      <c r="C26" s="5" t="str">
        <f>VLOOKUP(COMPRAS!A26,ARTICULOS!$A$1:$D$11,2,0)</f>
        <v>MODEM</v>
      </c>
      <c r="D26" s="11">
        <f>VLOOKUP(A26,ARTICULOS!$A$2:$D$11,4,0)</f>
        <v>50</v>
      </c>
      <c r="E26" s="9">
        <v>37790</v>
      </c>
      <c r="F26" s="5" t="str">
        <f>VLOOKUP(A26,ARTICULOS!$A$2:$D$11,3,FALSE)</f>
        <v>P001</v>
      </c>
    </row>
    <row r="27" spans="1:6" s="5" customFormat="1" x14ac:dyDescent="0.2">
      <c r="A27" s="5" t="s">
        <v>16</v>
      </c>
      <c r="B27" s="5">
        <v>30</v>
      </c>
      <c r="C27" s="5" t="str">
        <f>VLOOKUP(COMPRAS!A27,ARTICULOS!$A$1:$D$11,2,0)</f>
        <v>MONITOR</v>
      </c>
      <c r="D27" s="11">
        <f>VLOOKUP(A27,ARTICULOS!$A$2:$D$11,4,0)</f>
        <v>150</v>
      </c>
      <c r="E27" s="9">
        <v>37822</v>
      </c>
      <c r="F27" s="5" t="str">
        <f>VLOOKUP(A27,ARTICULOS!$A$2:$D$11,3,FALSE)</f>
        <v>P001</v>
      </c>
    </row>
    <row r="28" spans="1:6" s="5" customFormat="1" x14ac:dyDescent="0.2">
      <c r="A28" s="5" t="s">
        <v>14</v>
      </c>
      <c r="B28" s="5">
        <v>10</v>
      </c>
      <c r="C28" s="5" t="str">
        <f>VLOOKUP(COMPRAS!A28,ARTICULOS!$A$1:$D$11,2,0)</f>
        <v>CAJA</v>
      </c>
      <c r="D28" s="11">
        <f>VLOOKUP(A28,ARTICULOS!$A$2:$D$11,4,0)</f>
        <v>150</v>
      </c>
      <c r="E28" s="9">
        <v>37865</v>
      </c>
      <c r="F28" s="5" t="str">
        <f>VLOOKUP(A28,ARTICULOS!$A$2:$D$11,3,FALSE)</f>
        <v>P002</v>
      </c>
    </row>
    <row r="29" spans="1:6" s="5" customFormat="1" x14ac:dyDescent="0.2">
      <c r="A29" s="5" t="s">
        <v>20</v>
      </c>
      <c r="B29" s="5">
        <v>5</v>
      </c>
      <c r="C29" s="5" t="str">
        <f>VLOOKUP(COMPRAS!A29,ARTICULOS!$A$1:$D$11,2,0)</f>
        <v>PROCESADOR</v>
      </c>
      <c r="D29" s="11">
        <f>VLOOKUP(A29,ARTICULOS!$A$2:$D$11,4,0)</f>
        <v>300</v>
      </c>
      <c r="E29" s="9">
        <v>37874</v>
      </c>
      <c r="F29" s="5" t="str">
        <f>VLOOKUP(A29,ARTICULOS!$A$2:$D$11,3,FALSE)</f>
        <v>P002</v>
      </c>
    </row>
    <row r="30" spans="1:6" s="5" customFormat="1" x14ac:dyDescent="0.2">
      <c r="A30" s="5" t="s">
        <v>22</v>
      </c>
      <c r="B30" s="5">
        <v>125</v>
      </c>
      <c r="C30" s="5" t="str">
        <f>VLOOKUP(COMPRAS!A30,ARTICULOS!$A$1:$D$11,2,0)</f>
        <v>DISCO</v>
      </c>
      <c r="D30" s="11">
        <f>VLOOKUP(A30,ARTICULOS!$A$2:$D$11,4,0)</f>
        <v>100</v>
      </c>
      <c r="E30" s="9">
        <v>37882</v>
      </c>
      <c r="F30" s="5" t="str">
        <f>VLOOKUP(A30,ARTICULOS!$A$2:$D$11,3,FALSE)</f>
        <v>P002</v>
      </c>
    </row>
    <row r="31" spans="1:6" s="5" customFormat="1" x14ac:dyDescent="0.2">
      <c r="A31" s="5" t="s">
        <v>9</v>
      </c>
      <c r="B31" s="5">
        <v>145</v>
      </c>
      <c r="C31" s="5" t="str">
        <f>VLOOKUP(COMPRAS!A31,ARTICULOS!$A$1:$D$11,2,0)</f>
        <v>TECLADO</v>
      </c>
      <c r="D31" s="11">
        <f>VLOOKUP(A31,ARTICULOS!$A$2:$D$11,4,0)</f>
        <v>12</v>
      </c>
      <c r="E31" s="9">
        <v>37894</v>
      </c>
      <c r="F31" s="5" t="str">
        <f>VLOOKUP(A31,ARTICULOS!$A$2:$D$11,3,FALSE)</f>
        <v>P001</v>
      </c>
    </row>
    <row r="32" spans="1:6" s="5" customFormat="1" x14ac:dyDescent="0.2">
      <c r="A32" s="5" t="s">
        <v>7</v>
      </c>
      <c r="B32" s="5">
        <v>230</v>
      </c>
      <c r="C32" s="5" t="str">
        <f>VLOOKUP(COMPRAS!A32,ARTICULOS!$A$1:$D$11,2,0)</f>
        <v>RATON</v>
      </c>
      <c r="D32" s="11">
        <f>VLOOKUP(A32,ARTICULOS!$A$2:$D$11,4,0)</f>
        <v>10</v>
      </c>
      <c r="E32" s="9">
        <v>37905</v>
      </c>
      <c r="F32" s="5" t="str">
        <f>VLOOKUP(A32,ARTICULOS!$A$2:$D$11,3,FALSE)</f>
        <v>P001</v>
      </c>
    </row>
    <row r="33" spans="1:6" s="5" customFormat="1" x14ac:dyDescent="0.2">
      <c r="A33" s="5" t="s">
        <v>24</v>
      </c>
      <c r="B33" s="5">
        <v>100</v>
      </c>
      <c r="C33" s="5" t="str">
        <f>VLOOKUP(COMPRAS!A33,ARTICULOS!$A$1:$D$11,2,0)</f>
        <v>TARJETA VIDEO</v>
      </c>
      <c r="D33" s="11">
        <f>VLOOKUP(A33,ARTICULOS!$A$2:$D$11,4,0)</f>
        <v>30</v>
      </c>
      <c r="E33" s="9">
        <v>37914</v>
      </c>
      <c r="F33" s="5" t="str">
        <f>VLOOKUP(A33,ARTICULOS!$A$2:$D$11,3,FALSE)</f>
        <v>P002</v>
      </c>
    </row>
    <row r="34" spans="1:6" s="5" customFormat="1" x14ac:dyDescent="0.2">
      <c r="A34" s="5" t="s">
        <v>22</v>
      </c>
      <c r="B34" s="5">
        <v>150</v>
      </c>
      <c r="C34" s="5" t="str">
        <f>VLOOKUP(COMPRAS!A34,ARTICULOS!$A$1:$D$11,2,0)</f>
        <v>DISCO</v>
      </c>
      <c r="D34" s="11">
        <f>VLOOKUP(A34,ARTICULOS!$A$2:$D$11,4,0)</f>
        <v>100</v>
      </c>
      <c r="E34" s="9">
        <v>37916</v>
      </c>
      <c r="F34" s="5" t="str">
        <f>VLOOKUP(A34,ARTICULOS!$A$2:$D$11,3,FALSE)</f>
        <v>P002</v>
      </c>
    </row>
    <row r="35" spans="1:6" s="5" customFormat="1" x14ac:dyDescent="0.2">
      <c r="A35" s="5" t="s">
        <v>7</v>
      </c>
      <c r="B35" s="5">
        <v>190</v>
      </c>
      <c r="C35" s="5" t="str">
        <f>VLOOKUP(COMPRAS!A35,ARTICULOS!$A$1:$D$11,2,0)</f>
        <v>RATON</v>
      </c>
      <c r="D35" s="11">
        <f>VLOOKUP(A35,ARTICULOS!$A$2:$D$11,4,0)</f>
        <v>10</v>
      </c>
      <c r="E35" s="9">
        <v>37924</v>
      </c>
      <c r="F35" s="5" t="str">
        <f>VLOOKUP(A35,ARTICULOS!$A$2:$D$11,3,FALSE)</f>
        <v>P001</v>
      </c>
    </row>
    <row r="36" spans="1:6" s="5" customFormat="1" x14ac:dyDescent="0.2">
      <c r="A36" s="5" t="s">
        <v>24</v>
      </c>
      <c r="B36" s="5">
        <v>90</v>
      </c>
      <c r="C36" s="5" t="str">
        <f>VLOOKUP(COMPRAS!A36,ARTICULOS!$A$1:$D$11,2,0)</f>
        <v>TARJETA VIDEO</v>
      </c>
      <c r="D36" s="11">
        <f>VLOOKUP(A36,ARTICULOS!$A$2:$D$11,4,0)</f>
        <v>30</v>
      </c>
      <c r="E36" s="9">
        <v>37940</v>
      </c>
      <c r="F36" s="5" t="str">
        <f>VLOOKUP(A36,ARTICULOS!$A$2:$D$11,3,FALSE)</f>
        <v>P002</v>
      </c>
    </row>
    <row r="37" spans="1:6" s="5" customFormat="1" x14ac:dyDescent="0.2">
      <c r="D37" s="11"/>
      <c r="E37" s="9"/>
    </row>
    <row r="38" spans="1:6" s="5" customFormat="1" x14ac:dyDescent="0.2">
      <c r="D38" s="11"/>
      <c r="E38" s="9"/>
    </row>
    <row r="39" spans="1:6" s="5" customFormat="1" x14ac:dyDescent="0.2">
      <c r="D39" s="11"/>
      <c r="E39" s="9"/>
    </row>
    <row r="40" spans="1:6" s="5" customFormat="1" x14ac:dyDescent="0.2">
      <c r="D40" s="11"/>
      <c r="E40" s="9"/>
    </row>
    <row r="41" spans="1:6" s="5" customFormat="1" x14ac:dyDescent="0.2">
      <c r="D41" s="11"/>
      <c r="E41" s="9"/>
    </row>
    <row r="42" spans="1:6" s="5" customFormat="1" x14ac:dyDescent="0.2">
      <c r="D42" s="11"/>
      <c r="E42" s="9"/>
    </row>
    <row r="43" spans="1:6" s="5" customFormat="1" x14ac:dyDescent="0.2">
      <c r="D43" s="11"/>
      <c r="E43" s="9"/>
    </row>
    <row r="44" spans="1:6" s="5" customFormat="1" x14ac:dyDescent="0.2">
      <c r="D44" s="11"/>
      <c r="E44" s="9"/>
    </row>
    <row r="45" spans="1:6" s="5" customFormat="1" x14ac:dyDescent="0.2">
      <c r="D45" s="11"/>
    </row>
    <row r="46" spans="1:6" s="5" customFormat="1" x14ac:dyDescent="0.2">
      <c r="D46" s="11"/>
    </row>
    <row r="47" spans="1:6" s="5" customFormat="1" x14ac:dyDescent="0.2">
      <c r="D47" s="11"/>
    </row>
    <row r="48" spans="1:6" s="5" customFormat="1" x14ac:dyDescent="0.2">
      <c r="D48" s="11"/>
    </row>
    <row r="49" spans="4:4" s="5" customFormat="1" x14ac:dyDescent="0.2">
      <c r="D49" s="11"/>
    </row>
    <row r="50" spans="4:4" s="5" customFormat="1" x14ac:dyDescent="0.2">
      <c r="D50" s="11"/>
    </row>
    <row r="51" spans="4:4" s="5" customFormat="1" x14ac:dyDescent="0.2">
      <c r="D51" s="11"/>
    </row>
    <row r="52" spans="4:4" s="5" customFormat="1" x14ac:dyDescent="0.2">
      <c r="D52" s="11"/>
    </row>
    <row r="53" spans="4:4" s="5" customFormat="1" x14ac:dyDescent="0.2">
      <c r="D53" s="11"/>
    </row>
    <row r="54" spans="4:4" s="5" customFormat="1" x14ac:dyDescent="0.2">
      <c r="D54" s="11"/>
    </row>
    <row r="55" spans="4:4" s="5" customFormat="1" x14ac:dyDescent="0.2">
      <c r="D55" s="11"/>
    </row>
    <row r="56" spans="4:4" s="5" customFormat="1" x14ac:dyDescent="0.2">
      <c r="D56" s="11"/>
    </row>
    <row r="57" spans="4:4" s="5" customFormat="1" x14ac:dyDescent="0.2">
      <c r="D57" s="11"/>
    </row>
    <row r="58" spans="4:4" s="5" customFormat="1" x14ac:dyDescent="0.2">
      <c r="D58" s="11"/>
    </row>
    <row r="59" spans="4:4" s="5" customFormat="1" x14ac:dyDescent="0.2">
      <c r="D59" s="11"/>
    </row>
    <row r="60" spans="4:4" s="5" customFormat="1" x14ac:dyDescent="0.2">
      <c r="D60" s="11"/>
    </row>
    <row r="61" spans="4:4" s="5" customFormat="1" x14ac:dyDescent="0.2">
      <c r="D61" s="11"/>
    </row>
    <row r="62" spans="4:4" s="5" customFormat="1" x14ac:dyDescent="0.2">
      <c r="D62" s="11"/>
    </row>
    <row r="63" spans="4:4" s="5" customFormat="1" x14ac:dyDescent="0.2">
      <c r="D63" s="11"/>
    </row>
    <row r="64" spans="4:4" s="5" customFormat="1" x14ac:dyDescent="0.2">
      <c r="D64" s="11"/>
    </row>
    <row r="65" spans="4:4" s="5" customFormat="1" x14ac:dyDescent="0.2">
      <c r="D65" s="11"/>
    </row>
    <row r="66" spans="4:4" s="5" customFormat="1" x14ac:dyDescent="0.2">
      <c r="D66" s="11"/>
    </row>
    <row r="67" spans="4:4" s="5" customFormat="1" x14ac:dyDescent="0.2">
      <c r="D67" s="11"/>
    </row>
    <row r="68" spans="4:4" s="5" customFormat="1" x14ac:dyDescent="0.2">
      <c r="D68" s="11"/>
    </row>
    <row r="69" spans="4:4" s="5" customFormat="1" x14ac:dyDescent="0.2">
      <c r="D69" s="11"/>
    </row>
    <row r="70" spans="4:4" s="5" customFormat="1" x14ac:dyDescent="0.2">
      <c r="D70" s="11"/>
    </row>
    <row r="71" spans="4:4" s="5" customFormat="1" x14ac:dyDescent="0.2">
      <c r="D71" s="11"/>
    </row>
    <row r="72" spans="4:4" s="5" customFormat="1" x14ac:dyDescent="0.2">
      <c r="D72" s="11"/>
    </row>
    <row r="73" spans="4:4" s="5" customFormat="1" x14ac:dyDescent="0.2">
      <c r="D73" s="11"/>
    </row>
    <row r="74" spans="4:4" s="5" customFormat="1" x14ac:dyDescent="0.2">
      <c r="D74" s="11"/>
    </row>
    <row r="75" spans="4:4" s="5" customFormat="1" x14ac:dyDescent="0.2">
      <c r="D75" s="11"/>
    </row>
    <row r="76" spans="4:4" s="5" customFormat="1" x14ac:dyDescent="0.2">
      <c r="D76" s="11"/>
    </row>
    <row r="77" spans="4:4" s="5" customFormat="1" x14ac:dyDescent="0.2">
      <c r="D77" s="11"/>
    </row>
    <row r="78" spans="4:4" s="5" customFormat="1" x14ac:dyDescent="0.2">
      <c r="D78" s="11"/>
    </row>
    <row r="79" spans="4:4" s="5" customFormat="1" x14ac:dyDescent="0.2">
      <c r="D79" s="11"/>
    </row>
    <row r="80" spans="4:4" s="5" customFormat="1" x14ac:dyDescent="0.2">
      <c r="D80" s="11"/>
    </row>
    <row r="81" spans="4:4" s="5" customFormat="1" x14ac:dyDescent="0.2">
      <c r="D81" s="11"/>
    </row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data Student_</cp:lastModifiedBy>
  <cp:revision/>
  <dcterms:created xsi:type="dcterms:W3CDTF">2005-03-04T08:44:18Z</dcterms:created>
  <dcterms:modified xsi:type="dcterms:W3CDTF">2026-07-26T14:59:46Z</dcterms:modified>
  <cp:category/>
  <cp:contentStatus/>
</cp:coreProperties>
</file>