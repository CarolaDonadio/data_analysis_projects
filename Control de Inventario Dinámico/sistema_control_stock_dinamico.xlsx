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trol de Inventario Dinámico\"/>
    </mc:Choice>
  </mc:AlternateContent>
  <xr:revisionPtr revIDLastSave="0" documentId="13_ncr:1_{B86AF1D3-8FC8-426C-BAF6-FF86D8526EBA}" xr6:coauthVersionLast="47" xr6:coauthVersionMax="47" xr10:uidLastSave="{00000000-0000-0000-0000-000000000000}"/>
  <bookViews>
    <workbookView xWindow="0" yWindow="0" windowWidth="10230" windowHeight="10920" xr2:uid="{26A06294-AA51-444E-804D-57B4336A9AAD}"/>
    <workbookView xWindow="-120" yWindow="-120" windowWidth="20730" windowHeight="11160" activeTab="1" xr2:uid="{E31EC94F-A88F-4286-A888-617FF2989791}"/>
  </bookViews>
  <sheets>
    <sheet name="Stock" sheetId="2" r:id="rId1"/>
    <sheet name="Movimientos" sheetId="1" r:id="rId2"/>
  </sheets>
  <definedNames>
    <definedName name="nombretstockActual">tStock[Stock Actual]</definedName>
    <definedName name="nombretStockIdProducto">tStock[IdProducto]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E2" i="2"/>
  <c r="E3" i="2"/>
  <c r="E4" i="2"/>
  <c r="E5" i="2"/>
  <c r="E6" i="2"/>
  <c r="D3" i="2"/>
  <c r="D2" i="2"/>
  <c r="D4" i="2"/>
  <c r="D5" i="2"/>
  <c r="D6" i="2"/>
  <c r="D2" i="1"/>
  <c r="F5" i="2" l="1"/>
  <c r="F6" i="2"/>
  <c r="F3" i="2"/>
  <c r="F2" i="2"/>
  <c r="F4" i="2"/>
</calcChain>
</file>

<file path=xl/sharedStrings.xml><?xml version="1.0" encoding="utf-8"?>
<sst xmlns="http://schemas.openxmlformats.org/spreadsheetml/2006/main" count="40" uniqueCount="26">
  <si>
    <t>IdProducto</t>
  </si>
  <si>
    <t>Nombre</t>
  </si>
  <si>
    <t>Alerta</t>
  </si>
  <si>
    <t>Entradas</t>
  </si>
  <si>
    <t>Salidas</t>
  </si>
  <si>
    <t>Stock Actual</t>
  </si>
  <si>
    <t>ID001</t>
  </si>
  <si>
    <t>ID002</t>
  </si>
  <si>
    <t>ID003</t>
  </si>
  <si>
    <t>ID004</t>
  </si>
  <si>
    <t>ID005</t>
  </si>
  <si>
    <t>Producto 01</t>
  </si>
  <si>
    <t>Producto 02</t>
  </si>
  <si>
    <t>Producto 03</t>
  </si>
  <si>
    <t>Producto 04</t>
  </si>
  <si>
    <t>Producto 05</t>
  </si>
  <si>
    <t>Referencia</t>
  </si>
  <si>
    <t>Fecha</t>
  </si>
  <si>
    <t>Producto</t>
  </si>
  <si>
    <t>Movimiento</t>
  </si>
  <si>
    <t>Cantidad</t>
  </si>
  <si>
    <t>FCompra2525</t>
  </si>
  <si>
    <t>Entrada</t>
  </si>
  <si>
    <t>Salida</t>
  </si>
  <si>
    <t>Fventa0002</t>
  </si>
  <si>
    <t>FVenta0001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</si>
</sst>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font>
        <color theme="0"/>
      </font>
      <fill>
        <patternFill>
          <bgColor rgb="FFFE064D"/>
        </patternFill>
      </fill>
    </dxf>
    <dxf>
      <font>
        <color theme="0"/>
      </font>
      <fill>
        <patternFill>
          <bgColor rgb="FFFC1053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colors>
    <mruColors>
      <color rgb="FFFE064D"/>
      <color rgb="FFFC1053"/>
      <color rgb="FFFF89C7"/>
      <color rgb="FFFF295C"/>
      <color rgb="FFFB75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F61434-7CCB-4078-B63F-665AFCF2CE78}" name="tStock" displayName="tStock" ref="A1:F6" totalsRowShown="0">
  <autoFilter ref="A1:F6" xr:uid="{4BF61434-7CCB-4078-B63F-665AFCF2CE78}"/>
  <tableColumns count="6">
    <tableColumn id="1" xr3:uid="{4E3B46EB-E876-4D7C-A8D4-6B9F12A57FF9}" name="IdProducto"/>
    <tableColumn id="2" xr3:uid="{300265DE-83F0-41A4-9852-E15309FE89FE}" name="Nombre"/>
    <tableColumn id="3" xr3:uid="{76D790DE-767B-4008-BC4D-41FAF5B32B3F}" name="Alerta"/>
    <tableColumn id="4" xr3:uid="{47901047-47FA-455A-B932-33FEB3E528AF}" name="Entradas" dataDxfId="4">
      <calculatedColumnFormula>SUMIFS(tMovimientos[Cantidad],tMovimientos[Movimiento],"Entrada",tMovimientos[Producto],tStock[[#This Row],[IdProducto]])</calculatedColumnFormula>
    </tableColumn>
    <tableColumn id="5" xr3:uid="{FA24F127-0432-42E5-85A2-F2455D58BAC4}" name="Salidas" dataDxfId="3">
      <calculatedColumnFormula>SUMIFS(tMovimientos[Cantidad],tMovimientos[Movimiento],"Salida",tMovimientos[Producto],tStock[[#This Row],[IdProducto]])</calculatedColumnFormula>
    </tableColumn>
    <tableColumn id="6" xr3:uid="{25D9DA29-CFBF-4072-B56C-657CC1B5FE25}" name="Stock Actual" dataDxfId="2">
      <calculatedColumnFormula>tStock[[#This Row],[Entradas]]-tStock[[#This Row],[Salidas]]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1775C1-9150-4031-BA5C-3AA66F7673C2}" name="tMovimientos" displayName="tMovimientos" ref="A1:F7" totalsRowShown="0">
  <autoFilter ref="A1:F7" xr:uid="{681775C1-9150-4031-BA5C-3AA66F7673C2}"/>
  <tableColumns count="6">
    <tableColumn id="1" xr3:uid="{5754E7A4-40E3-499E-8C6B-D07877713886}" name="Referencia"/>
    <tableColumn id="2" xr3:uid="{98540A49-2FE2-41CE-B117-51EC8ADAF11B}" name="Fecha" dataDxfId="5"/>
    <tableColumn id="3" xr3:uid="{B36180CA-6B7C-45D5-8887-22EAF7A5F6C4}" name="Producto"/>
    <tableColumn id="4" xr3:uid="{8661BA12-92EC-4F88-9B53-060E58ACF37E}" name="Nombre">
      <calculatedColumnFormula>IFERROR(_xlfn.XLOOKUP(tMovimientos[[#This Row],[Producto]],tStock[IdProducto],tStock[Nombre]),"-")</calculatedColumnFormula>
    </tableColumn>
    <tableColumn id="5" xr3:uid="{7DC9174B-603D-462A-AA55-3FC306E84512}" name="Movimiento"/>
    <tableColumn id="6" xr3:uid="{90BA5261-AA84-491C-9621-E39A3534E89B}" name="Cantida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FEA9-4CA0-4C94-A9BC-BA1A9BCC22C1}">
  <sheetPr>
    <tabColor rgb="FFFF295C"/>
  </sheetPr>
  <dimension ref="A1:F6"/>
  <sheetViews>
    <sheetView showGridLines="0" tabSelected="1" workbookViewId="0">
      <selection activeCell="H9" sqref="H9"/>
    </sheetView>
    <sheetView workbookViewId="1"/>
  </sheetViews>
  <sheetFormatPr baseColWidth="10" defaultRowHeight="15" x14ac:dyDescent="0.25"/>
  <cols>
    <col min="1" max="1" width="13.7109375" customWidth="1"/>
    <col min="2" max="2" width="13" customWidth="1"/>
    <col min="3" max="3" width="12.5703125" customWidth="1"/>
    <col min="4" max="4" width="12.42578125" customWidth="1"/>
    <col min="5" max="5" width="13" customWidth="1"/>
    <col min="6" max="6" width="15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11</v>
      </c>
      <c r="C2">
        <v>5</v>
      </c>
      <c r="D2">
        <f>SUMIFS(tMovimientos[Cantidad],tMovimientos[Movimiento],"Entrada",tMovimientos[Producto],tStock[[#This Row],[IdProducto]])</f>
        <v>15</v>
      </c>
      <c r="E2">
        <f>SUMIFS(tMovimientos[Cantidad],tMovimientos[Movimiento],"Salida",tMovimientos[Producto],tStock[[#This Row],[IdProducto]])</f>
        <v>0</v>
      </c>
      <c r="F2">
        <f>tStock[[#This Row],[Entradas]]-tStock[[#This Row],[Salidas]]</f>
        <v>15</v>
      </c>
    </row>
    <row r="3" spans="1:6" x14ac:dyDescent="0.25">
      <c r="A3" t="s">
        <v>7</v>
      </c>
      <c r="B3" t="s">
        <v>12</v>
      </c>
      <c r="C3">
        <v>10</v>
      </c>
      <c r="D3">
        <f>SUMIFS(tMovimientos[Cantidad],tMovimientos[Movimiento],"Entrada",tMovimientos[Producto],tStock[[#This Row],[IdProducto]])</f>
        <v>25</v>
      </c>
      <c r="E3">
        <f>SUMIFS(tMovimientos[Cantidad],tMovimientos[Movimiento],"Salida",tMovimientos[Producto],tStock[[#This Row],[IdProducto]])</f>
        <v>0</v>
      </c>
      <c r="F3">
        <f>tStock[[#This Row],[Entradas]]-tStock[[#This Row],[Salidas]]</f>
        <v>25</v>
      </c>
    </row>
    <row r="4" spans="1:6" x14ac:dyDescent="0.25">
      <c r="A4" t="s">
        <v>8</v>
      </c>
      <c r="B4" t="s">
        <v>13</v>
      </c>
      <c r="C4">
        <v>15</v>
      </c>
      <c r="D4">
        <f>SUMIFS(tMovimientos[Cantidad],tMovimientos[Movimiento],"Entrada",tMovimientos[Producto],tStock[[#This Row],[IdProducto]])</f>
        <v>20</v>
      </c>
      <c r="E4">
        <f>SUMIFS(tMovimientos[Cantidad],tMovimientos[Movimiento],"Salida",tMovimientos[Producto],tStock[[#This Row],[IdProducto]])</f>
        <v>15</v>
      </c>
      <c r="F4">
        <f>tStock[[#This Row],[Entradas]]-tStock[[#This Row],[Salidas]]</f>
        <v>5</v>
      </c>
    </row>
    <row r="5" spans="1:6" x14ac:dyDescent="0.25">
      <c r="A5" t="s">
        <v>9</v>
      </c>
      <c r="B5" t="s">
        <v>14</v>
      </c>
      <c r="C5">
        <v>20</v>
      </c>
      <c r="D5">
        <f>SUMIFS(tMovimientos[Cantidad],tMovimientos[Movimiento],"Entrada",tMovimientos[Producto],tStock[[#This Row],[IdProducto]])</f>
        <v>35</v>
      </c>
      <c r="E5">
        <f>SUMIFS(tMovimientos[Cantidad],tMovimientos[Movimiento],"Salida",tMovimientos[Producto],tStock[[#This Row],[IdProducto]])</f>
        <v>0</v>
      </c>
      <c r="F5">
        <f>tStock[[#This Row],[Entradas]]-tStock[[#This Row],[Salidas]]</f>
        <v>35</v>
      </c>
    </row>
    <row r="6" spans="1:6" x14ac:dyDescent="0.25">
      <c r="A6" t="s">
        <v>10</v>
      </c>
      <c r="B6" t="s">
        <v>15</v>
      </c>
      <c r="C6">
        <v>25</v>
      </c>
      <c r="D6">
        <f>SUMIFS(tMovimientos[Cantidad],tMovimientos[Movimiento],"Entrada",tMovimientos[Producto],tStock[[#This Row],[IdProducto]])</f>
        <v>0</v>
      </c>
      <c r="E6">
        <f>SUMIFS(tMovimientos[Cantidad],tMovimientos[Movimiento],"Salida",tMovimientos[Producto],tStock[[#This Row],[IdProducto]])</f>
        <v>0</v>
      </c>
      <c r="F6">
        <f>tStock[[#This Row],[Entradas]]-tStock[[#This Row],[Salidas]]</f>
        <v>0</v>
      </c>
    </row>
  </sheetData>
  <phoneticPr fontId="1" type="noConversion"/>
  <conditionalFormatting sqref="E11">
    <cfRule type="expression" dxfId="1" priority="2">
      <formula>$F2&lt;=$C2</formula>
    </cfRule>
  </conditionalFormatting>
  <conditionalFormatting sqref="A2:F6">
    <cfRule type="expression" dxfId="0" priority="1">
      <formula>$F2&lt;=$C2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DBDD-82DE-4C6E-B9E5-D0B326CE1F0F}">
  <sheetPr>
    <tabColor rgb="FFFB75B2"/>
  </sheetPr>
  <dimension ref="A1:F7"/>
  <sheetViews>
    <sheetView workbookViewId="0"/>
    <sheetView showGridLines="0" tabSelected="1" workbookViewId="1">
      <selection activeCell="D12" sqref="D12"/>
    </sheetView>
  </sheetViews>
  <sheetFormatPr baseColWidth="10" defaultRowHeight="15" x14ac:dyDescent="0.25"/>
  <cols>
    <col min="1" max="1" width="13.42578125" customWidth="1"/>
    <col min="2" max="2" width="14" customWidth="1"/>
    <col min="3" max="3" width="13.7109375" customWidth="1"/>
    <col min="4" max="4" width="13.42578125" customWidth="1"/>
    <col min="5" max="5" width="14" customWidth="1"/>
    <col min="6" max="6" width="13.85546875" customWidth="1"/>
  </cols>
  <sheetData>
    <row r="1" spans="1:6" x14ac:dyDescent="0.25">
      <c r="A1" t="s">
        <v>16</v>
      </c>
      <c r="B1" t="s">
        <v>17</v>
      </c>
      <c r="C1" t="s">
        <v>18</v>
      </c>
      <c r="D1" t="s">
        <v>1</v>
      </c>
      <c r="E1" t="s">
        <v>19</v>
      </c>
      <c r="F1" t="s">
        <v>20</v>
      </c>
    </row>
    <row r="2" spans="1:6" x14ac:dyDescent="0.25">
      <c r="A2" t="s">
        <v>21</v>
      </c>
      <c r="B2" s="1">
        <v>46023</v>
      </c>
      <c r="C2" t="s">
        <v>6</v>
      </c>
      <c r="D2" t="str">
        <f>IFERROR(_xlfn.XLOOKUP(tMovimientos[[#This Row],[Producto]],tStock[IdProducto],tStock[Nombre]),"-")</f>
        <v>Producto 01</v>
      </c>
      <c r="E2" t="s">
        <v>22</v>
      </c>
      <c r="F2">
        <v>15</v>
      </c>
    </row>
    <row r="3" spans="1:6" x14ac:dyDescent="0.25">
      <c r="A3" t="s">
        <v>21</v>
      </c>
      <c r="B3" s="1">
        <v>46023</v>
      </c>
      <c r="C3" t="s">
        <v>7</v>
      </c>
      <c r="D3" t="str">
        <f>IFERROR(_xlfn.XLOOKUP(tMovimientos[[#This Row],[Producto]],tStock[IdProducto],tStock[Nombre]),"-")</f>
        <v>Producto 02</v>
      </c>
      <c r="E3" t="s">
        <v>22</v>
      </c>
      <c r="F3">
        <v>25</v>
      </c>
    </row>
    <row r="4" spans="1:6" x14ac:dyDescent="0.25">
      <c r="A4" t="s">
        <v>21</v>
      </c>
      <c r="B4" s="1">
        <v>46023</v>
      </c>
      <c r="C4" t="s">
        <v>8</v>
      </c>
      <c r="D4" t="str">
        <f>IFERROR(_xlfn.XLOOKUP(tMovimientos[[#This Row],[Producto]],tStock[IdProducto],tStock[Nombre]),"-")</f>
        <v>Producto 03</v>
      </c>
      <c r="E4" t="s">
        <v>22</v>
      </c>
      <c r="F4">
        <v>20</v>
      </c>
    </row>
    <row r="5" spans="1:6" x14ac:dyDescent="0.25">
      <c r="A5" t="s">
        <v>21</v>
      </c>
      <c r="B5" s="1">
        <v>46023</v>
      </c>
      <c r="C5" t="s">
        <v>9</v>
      </c>
      <c r="D5" t="str">
        <f>IFERROR(_xlfn.XLOOKUP(tMovimientos[[#This Row],[Producto]],tStock[IdProducto],tStock[Nombre]),"-")</f>
        <v>Producto 04</v>
      </c>
      <c r="E5" t="s">
        <v>22</v>
      </c>
      <c r="F5">
        <v>35</v>
      </c>
    </row>
    <row r="6" spans="1:6" x14ac:dyDescent="0.25">
      <c r="A6" t="s">
        <v>25</v>
      </c>
      <c r="B6" s="1">
        <v>46037</v>
      </c>
      <c r="C6" t="s">
        <v>8</v>
      </c>
      <c r="D6" t="str">
        <f>IFERROR(_xlfn.XLOOKUP(tMovimientos[[#This Row],[Producto]],tStock[IdProducto],tStock[Nombre]),"-")</f>
        <v>Producto 03</v>
      </c>
      <c r="E6" t="s">
        <v>23</v>
      </c>
      <c r="F6">
        <v>10</v>
      </c>
    </row>
    <row r="7" spans="1:6" x14ac:dyDescent="0.25">
      <c r="A7" t="s">
        <v>24</v>
      </c>
      <c r="B7" s="1">
        <v>46038</v>
      </c>
      <c r="C7" t="s">
        <v>8</v>
      </c>
      <c r="D7" t="str">
        <f>IFERROR(_xlfn.XLOOKUP(tMovimientos[[#This Row],[Producto]],tStock[IdProducto],tStock[Nombre]),"-")</f>
        <v>Producto 03</v>
      </c>
      <c r="E7" t="s">
        <v>23</v>
      </c>
      <c r="F7">
        <v>5</v>
      </c>
    </row>
  </sheetData>
  <dataValidations count="2">
    <dataValidation type="list" allowBlank="1" showInputMessage="1" showErrorMessage="1" sqref="E2:E7" xr:uid="{BDE9ECEF-C9A5-4A19-923F-27679C000AA0}">
      <formula1>"Entrada,Salida"</formula1>
    </dataValidation>
    <dataValidation type="custom" allowBlank="1" showInputMessage="1" showErrorMessage="1" errorTitle="Error de existencias" error="No puedes vender más existencias de las que tienes en el inventario" sqref="F2:F7" xr:uid="{2A06FAFD-5CB8-4934-8F39-235F282C00E2}">
      <formula1>_xlfn.XLOOKUP($C2,nombretStockIdProducto,nombretstockActual)&gt;=0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0E53C3-F039-4B93-9356-69A6DC820C9C}">
          <x14:formula1>
            <xm:f>Stock!$A$2:$A$6</xm:f>
          </x14:formula1>
          <xm:sqref>C2:C7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Stock</vt:lpstr>
      <vt:lpstr>Movimientos</vt:lpstr>
      <vt:lpstr>nombretstockActual</vt:lpstr>
      <vt:lpstr>nombretStockIdProducto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Student_</dc:creator>
  <cp:lastModifiedBy>data Student_</cp:lastModifiedBy>
  <dcterms:created xsi:type="dcterms:W3CDTF">2026-07-27T02:02:23Z</dcterms:created>
  <dcterms:modified xsi:type="dcterms:W3CDTF">2026-07-27T02:50:20Z</dcterms:modified>
</cp:coreProperties>
</file>