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A2D5FC7E-5DC8-455F-A842-BDB20B2EF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4" i="1"/>
  <c r="H5" i="1"/>
  <c r="H6" i="1"/>
  <c r="H7" i="1"/>
  <c r="H8" i="1"/>
  <c r="H9" i="1"/>
  <c r="H10" i="1"/>
  <c r="H11" i="1"/>
  <c r="H12" i="1"/>
  <c r="H13" i="1"/>
  <c r="H4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<sst xmlns="http://schemas.openxmlformats.org/spreadsheetml/2006/main" count="20" uniqueCount="16">
  <si>
    <t>PLAZO</t>
  </si>
  <si>
    <t>NUMERO FACTURA CLIENTE</t>
  </si>
  <si>
    <t>CONCEPTO</t>
  </si>
  <si>
    <t>FECHA FACTURA CLIENTE</t>
  </si>
  <si>
    <t>MES FACTURA</t>
  </si>
  <si>
    <t>AÑO FACTURA</t>
  </si>
  <si>
    <t>FECHA PAGO1</t>
  </si>
  <si>
    <t>FECHA PAGO2</t>
  </si>
  <si>
    <t>DIA SEM FECHA PAGO2</t>
  </si>
  <si>
    <t>DESARROLLO</t>
  </si>
  <si>
    <t>PROYECTO</t>
  </si>
  <si>
    <t>EQUIPOS</t>
  </si>
  <si>
    <t>PROGRAMA</t>
  </si>
  <si>
    <t>FORMACION</t>
  </si>
  <si>
    <t>CONSULTORIA</t>
  </si>
  <si>
    <t>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</si>
</sst>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E3" workbookViewId="0">
      <selection activeCell="G4" sqref="G4:G13"/>
    </sheetView>
  </sheetViews>
  <sheetFormatPr defaultColWidth="11.42578125" defaultRowHeight="14.45"/>
  <cols>
    <col min="1" max="1" width="12.28515625" bestFit="1" customWidth="1"/>
    <col min="2" max="2" width="13.5703125" bestFit="1" customWidth="1"/>
    <col min="7" max="7" width="23.42578125" bestFit="1" customWidth="1"/>
  </cols>
  <sheetData>
    <row r="1" spans="1:8">
      <c r="A1" t="s">
        <v>0</v>
      </c>
      <c r="B1">
        <v>45</v>
      </c>
    </row>
    <row r="3" spans="1:8" ht="39.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2">
        <v>1</v>
      </c>
      <c r="B4" t="s">
        <v>9</v>
      </c>
      <c r="C4" s="3">
        <v>45383</v>
      </c>
      <c r="D4">
        <f>MONTH(C4)</f>
        <v>4</v>
      </c>
      <c r="E4">
        <f>YEAR(C4)</f>
        <v>2024</v>
      </c>
      <c r="F4" s="3">
        <f>C4+$B$1</f>
        <v>45428</v>
      </c>
      <c r="G4" s="3">
        <f>WORKDAY.INTL(C4,$B$1,1,$A$16:$A$27)</f>
        <v>45446</v>
      </c>
      <c r="H4">
        <f>WEEKDAY(G4,2)</f>
        <v>1</v>
      </c>
    </row>
    <row r="5" spans="1:8">
      <c r="A5" s="2">
        <v>2</v>
      </c>
      <c r="B5" t="s">
        <v>10</v>
      </c>
      <c r="C5" s="3">
        <v>45356</v>
      </c>
      <c r="D5">
        <f t="shared" ref="D5:D14" si="0">MONTH(C5)</f>
        <v>3</v>
      </c>
      <c r="E5">
        <f t="shared" ref="E5:E13" si="1">YEAR(C5)</f>
        <v>2024</v>
      </c>
      <c r="F5" s="3">
        <f t="shared" ref="F5:F13" si="2">C5+$B$1</f>
        <v>45401</v>
      </c>
      <c r="G5" s="3">
        <f t="shared" ref="G5:G13" si="3">WORKDAY.INTL(C5,$B$1,1,$A$16:$A$27)</f>
        <v>45421</v>
      </c>
      <c r="H5">
        <f t="shared" ref="H5:H13" si="4">WEEKDAY(G5,2)</f>
        <v>4</v>
      </c>
    </row>
    <row r="6" spans="1:8">
      <c r="A6" s="2">
        <v>3</v>
      </c>
      <c r="B6" t="s">
        <v>11</v>
      </c>
      <c r="C6" s="3">
        <v>45389</v>
      </c>
      <c r="D6">
        <f t="shared" si="0"/>
        <v>4</v>
      </c>
      <c r="E6">
        <f t="shared" si="1"/>
        <v>2024</v>
      </c>
      <c r="F6" s="3">
        <f t="shared" si="2"/>
        <v>45434</v>
      </c>
      <c r="G6" s="3">
        <f t="shared" si="3"/>
        <v>45450</v>
      </c>
      <c r="H6">
        <f t="shared" si="4"/>
        <v>5</v>
      </c>
    </row>
    <row r="7" spans="1:8">
      <c r="A7" s="2">
        <v>4</v>
      </c>
      <c r="B7" t="s">
        <v>12</v>
      </c>
      <c r="C7" s="3">
        <v>45479</v>
      </c>
      <c r="D7">
        <f t="shared" si="0"/>
        <v>7</v>
      </c>
      <c r="E7">
        <f t="shared" si="1"/>
        <v>2024</v>
      </c>
      <c r="F7" s="3">
        <f t="shared" si="2"/>
        <v>45524</v>
      </c>
      <c r="G7" s="3">
        <f t="shared" si="3"/>
        <v>45545</v>
      </c>
      <c r="H7">
        <f t="shared" si="4"/>
        <v>2</v>
      </c>
    </row>
    <row r="8" spans="1:8">
      <c r="A8" s="2">
        <v>5</v>
      </c>
      <c r="B8" t="s">
        <v>13</v>
      </c>
      <c r="C8" s="3">
        <v>45395</v>
      </c>
      <c r="D8">
        <f t="shared" si="0"/>
        <v>4</v>
      </c>
      <c r="E8">
        <f t="shared" si="1"/>
        <v>2024</v>
      </c>
      <c r="F8" s="3">
        <f t="shared" si="2"/>
        <v>45440</v>
      </c>
      <c r="G8" s="3">
        <f t="shared" si="3"/>
        <v>45457</v>
      </c>
      <c r="H8">
        <f t="shared" si="4"/>
        <v>5</v>
      </c>
    </row>
    <row r="9" spans="1:8">
      <c r="A9" s="2">
        <v>6</v>
      </c>
      <c r="B9" t="s">
        <v>14</v>
      </c>
      <c r="C9" s="3">
        <v>45552</v>
      </c>
      <c r="D9">
        <f t="shared" si="0"/>
        <v>9</v>
      </c>
      <c r="E9">
        <f t="shared" si="1"/>
        <v>2024</v>
      </c>
      <c r="F9" s="3">
        <f t="shared" si="2"/>
        <v>45597</v>
      </c>
      <c r="G9" s="3">
        <f t="shared" si="3"/>
        <v>45616</v>
      </c>
      <c r="H9">
        <f t="shared" si="4"/>
        <v>3</v>
      </c>
    </row>
    <row r="10" spans="1:8">
      <c r="A10" s="2">
        <v>7</v>
      </c>
      <c r="B10" t="s">
        <v>9</v>
      </c>
      <c r="C10" s="3">
        <v>45331</v>
      </c>
      <c r="D10">
        <f t="shared" si="0"/>
        <v>2</v>
      </c>
      <c r="E10">
        <f t="shared" si="1"/>
        <v>2024</v>
      </c>
      <c r="F10" s="3">
        <f t="shared" si="2"/>
        <v>45376</v>
      </c>
      <c r="G10" s="3">
        <f t="shared" si="3"/>
        <v>45398</v>
      </c>
      <c r="H10">
        <f t="shared" si="4"/>
        <v>2</v>
      </c>
    </row>
    <row r="11" spans="1:8">
      <c r="A11" s="2">
        <v>8</v>
      </c>
      <c r="B11" t="s">
        <v>10</v>
      </c>
      <c r="C11" s="3">
        <v>45398</v>
      </c>
      <c r="D11">
        <f t="shared" si="0"/>
        <v>4</v>
      </c>
      <c r="E11">
        <f t="shared" si="1"/>
        <v>2024</v>
      </c>
      <c r="F11" s="3">
        <f t="shared" si="2"/>
        <v>45443</v>
      </c>
      <c r="G11" s="3">
        <f t="shared" si="3"/>
        <v>45461</v>
      </c>
      <c r="H11">
        <f t="shared" si="4"/>
        <v>2</v>
      </c>
    </row>
    <row r="12" spans="1:8">
      <c r="A12" s="2">
        <v>9</v>
      </c>
      <c r="B12" t="s">
        <v>11</v>
      </c>
      <c r="C12" s="3">
        <v>45391</v>
      </c>
      <c r="D12">
        <f t="shared" si="0"/>
        <v>4</v>
      </c>
      <c r="E12">
        <f t="shared" si="1"/>
        <v>2024</v>
      </c>
      <c r="F12" s="3">
        <f t="shared" si="2"/>
        <v>45436</v>
      </c>
      <c r="G12" s="3">
        <f t="shared" si="3"/>
        <v>45454</v>
      </c>
      <c r="H12">
        <f t="shared" si="4"/>
        <v>2</v>
      </c>
    </row>
    <row r="13" spans="1:8">
      <c r="A13" s="2">
        <v>10</v>
      </c>
      <c r="B13" t="s">
        <v>12</v>
      </c>
      <c r="C13" s="3">
        <v>45402</v>
      </c>
      <c r="D13">
        <f t="shared" si="0"/>
        <v>4</v>
      </c>
      <c r="E13">
        <f t="shared" si="1"/>
        <v>2024</v>
      </c>
      <c r="F13" s="3">
        <f t="shared" si="2"/>
        <v>45447</v>
      </c>
      <c r="G13" s="3">
        <f t="shared" si="3"/>
        <v>45464</v>
      </c>
      <c r="H13">
        <f t="shared" si="4"/>
        <v>5</v>
      </c>
    </row>
    <row r="15" spans="1:8">
      <c r="A15" s="4" t="s">
        <v>15</v>
      </c>
    </row>
    <row r="16" spans="1:8">
      <c r="A16" s="3">
        <v>45292</v>
      </c>
    </row>
    <row r="17" spans="1:1">
      <c r="A17" s="3">
        <v>45297</v>
      </c>
    </row>
    <row r="18" spans="1:1">
      <c r="A18" s="3">
        <v>45379</v>
      </c>
    </row>
    <row r="19" spans="1:1">
      <c r="A19" s="3">
        <v>45380</v>
      </c>
    </row>
    <row r="20" spans="1:1">
      <c r="A20" s="3">
        <v>45498</v>
      </c>
    </row>
    <row r="21" spans="1:1">
      <c r="A21" s="3">
        <v>45519</v>
      </c>
    </row>
    <row r="22" spans="1:1">
      <c r="A22" s="3">
        <v>45577</v>
      </c>
    </row>
    <row r="23" spans="1:1">
      <c r="A23" s="3">
        <v>45597</v>
      </c>
    </row>
    <row r="24" spans="1:1">
      <c r="A24" s="3">
        <v>45605</v>
      </c>
    </row>
    <row r="25" spans="1:1">
      <c r="A25" s="3">
        <v>45632</v>
      </c>
    </row>
    <row r="26" spans="1:1">
      <c r="A26" s="3">
        <v>45634</v>
      </c>
    </row>
    <row r="27" spans="1:1">
      <c r="A27" s="3">
        <v>45651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3D37-E696-4F12-BC10-97AA7C4355AD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/>
  <cp:revision/>
  <dcterms:created xsi:type="dcterms:W3CDTF">2011-06-05T18:53:10Z</dcterms:created>
  <dcterms:modified xsi:type="dcterms:W3CDTF">2026-08-01T12:28:38Z</dcterms:modified>
  <cp:category/>
  <cp:contentStatus/>
</cp:coreProperties>
</file>