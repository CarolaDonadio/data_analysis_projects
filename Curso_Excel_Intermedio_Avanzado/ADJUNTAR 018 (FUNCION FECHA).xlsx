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C:\Users\econd\Desktop\PARA CURSO GLOBAL ALUMINI\02 FUNCIONES DE FECHA\"/>
    </mc:Choice>
  </mc:AlternateContent>
  <xr:revisionPtr revIDLastSave="0" documentId="8_{472C60D4-9E59-4135-9A76-D7F8BCECE0D0}" xr6:coauthVersionLast="47" xr6:coauthVersionMax="47" xr10:uidLastSave="{00000000-0000-0000-0000-000000000000}"/>
  <bookViews>
    <workbookView xWindow="-108" yWindow="-108" windowWidth="23256" windowHeight="12456" xr2:uid="{68509A21-F742-488B-B940-A591955C3D81}"/>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 i="1" l="1"/>
  <c r="R4" i="1"/>
  <c r="R5" i="1"/>
  <c r="R6" i="1"/>
  <c r="R7" i="1"/>
  <c r="R8" i="1"/>
  <c r="R9" i="1"/>
  <c r="Q3" i="1"/>
  <c r="Q4" i="1"/>
  <c r="Q5" i="1"/>
  <c r="Q6" i="1"/>
  <c r="Q7" i="1"/>
  <c r="Q8" i="1"/>
  <c r="Q9" i="1"/>
  <c r="R2" i="1"/>
  <c r="Q2" i="1"/>
  <c r="P3" i="1"/>
  <c r="P4" i="1"/>
  <c r="P5" i="1"/>
  <c r="P6" i="1"/>
  <c r="P7" i="1"/>
  <c r="P8" i="1"/>
  <c r="P9" i="1"/>
  <c r="P2" i="1"/>
  <c r="O3" i="1"/>
  <c r="O4" i="1"/>
  <c r="O5" i="1"/>
  <c r="O6" i="1"/>
  <c r="O7" i="1"/>
  <c r="O8" i="1"/>
  <c r="O9" i="1"/>
  <c r="O2" i="1"/>
  <c r="N3" i="1"/>
  <c r="N4" i="1"/>
  <c r="N5" i="1"/>
  <c r="N6" i="1"/>
  <c r="N7" i="1"/>
  <c r="N8" i="1"/>
  <c r="N9" i="1"/>
  <c r="N2" i="1"/>
  <c r="M3" i="1"/>
  <c r="M4" i="1"/>
  <c r="M5" i="1"/>
  <c r="M6" i="1"/>
  <c r="M7" i="1"/>
  <c r="M8" i="1"/>
  <c r="M9" i="1"/>
  <c r="M2" i="1"/>
  <c r="L3" i="1"/>
  <c r="L4" i="1"/>
  <c r="L5" i="1"/>
  <c r="L6" i="1"/>
  <c r="L7" i="1"/>
  <c r="L8" i="1"/>
  <c r="L9" i="1"/>
  <c r="L2" i="1"/>
  <c r="K3" i="1"/>
  <c r="K4" i="1"/>
  <c r="K5" i="1"/>
  <c r="K6" i="1"/>
  <c r="K7" i="1"/>
  <c r="K8" i="1"/>
  <c r="K9" i="1"/>
  <c r="K2" i="1"/>
  <c r="J3" i="1"/>
  <c r="J4" i="1"/>
  <c r="J5" i="1"/>
  <c r="J6" i="1"/>
  <c r="J7" i="1"/>
  <c r="J8" i="1"/>
  <c r="J9" i="1"/>
  <c r="J2" i="1"/>
  <c r="I3" i="1"/>
  <c r="I4" i="1"/>
  <c r="I5" i="1"/>
  <c r="I6" i="1"/>
  <c r="I7" i="1"/>
  <c r="I8" i="1"/>
  <c r="I9" i="1"/>
  <c r="I2" i="1"/>
  <c r="H3" i="1"/>
  <c r="H4" i="1"/>
  <c r="H5" i="1"/>
  <c r="H6" i="1"/>
  <c r="H7" i="1"/>
  <c r="H8" i="1"/>
  <c r="H9" i="1"/>
  <c r="H2" i="1"/>
  <c r="G2" i="1"/>
  <c r="G3" i="1"/>
  <c r="G4" i="1"/>
  <c r="G5" i="1"/>
  <c r="G6" i="1"/>
  <c r="G7" i="1"/>
  <c r="G8" i="1"/>
  <c r="G9" i="1"/>
  <c r="F3" i="1"/>
  <c r="F4" i="1"/>
  <c r="F5" i="1"/>
  <c r="F6" i="1"/>
  <c r="F7" i="1"/>
  <c r="F8" i="1"/>
  <c r="F9" i="1"/>
  <c r="F2" i="1"/>
  <c r="E3" i="1"/>
  <c r="E4" i="1"/>
  <c r="E5" i="1"/>
  <c r="E6" i="1"/>
  <c r="E7" i="1"/>
  <c r="E8" i="1"/>
  <c r="E9" i="1"/>
  <c r="E2" i="1"/>
  <c r="D3" i="1"/>
  <c r="D4" i="1"/>
  <c r="D5" i="1"/>
  <c r="D6" i="1"/>
  <c r="D7" i="1"/>
  <c r="D8" i="1"/>
  <c r="D9" i="1"/>
  <c r="D2" i="1"/>
</calcChain>
</file>

<file path=xl/sharedStrings.xml><?xml version="1.0" encoding="utf-8"?>
<sst xmlns="http://schemas.openxmlformats.org/spreadsheetml/2006/main" count="31" uniqueCount="29">
  <si>
    <t>DIA</t>
  </si>
  <si>
    <t>MES</t>
  </si>
  <si>
    <t>AÑO</t>
  </si>
  <si>
    <t>FECHA</t>
  </si>
  <si>
    <t>FIN DE MES</t>
  </si>
  <si>
    <t>DIAS PASADOS</t>
  </si>
  <si>
    <t>DÍAS LABORALES</t>
  </si>
  <si>
    <t>HOY</t>
  </si>
  <si>
    <t>D/TEXTO</t>
  </si>
  <si>
    <t>DD/TEXTO</t>
  </si>
  <si>
    <t>DDD/TEXTO</t>
  </si>
  <si>
    <t>DDDD/TEXTO</t>
  </si>
  <si>
    <t>M</t>
  </si>
  <si>
    <t>MM</t>
  </si>
  <si>
    <t>MMM</t>
  </si>
  <si>
    <t>MMMM</t>
  </si>
  <si>
    <t>AA / AA</t>
  </si>
  <si>
    <t>AAAA / YYYY</t>
  </si>
  <si>
    <t xml:space="preserve">La función FECHA nos permite calcular una fecha indicando nosotros el día, mes y año que ha de tener la fecha que estamos calculando. </t>
  </si>
  <si>
    <t>FIN.MES</t>
  </si>
  <si>
    <t xml:space="preserve">Con esta función sumamos un número de meses a una fecha, y devuelve como resultado otra fecha, tantos meses más tarde como le sumamos, y siempre el último día del mes. </t>
  </si>
  <si>
    <t>RESTAR 2 FECHAS</t>
  </si>
  <si>
    <t xml:space="preserve">Cuando restamos dos fechas, lo que estamos calculando es el número de días naturales (de lunes a domingo) que han transcurrido entre ambas fechas. </t>
  </si>
  <si>
    <t>DIAS.LAB.INTL</t>
  </si>
  <si>
    <t xml:space="preserve">Con esta función calculamos el número de días laborables transcurridos entre dos fechas. </t>
  </si>
  <si>
    <t xml:space="preserve">La función HOY(), es una función que no tiene ningún argumento, lo que hace es devolvernos las fecha del día actual, de tal manera, cada día se va a ir actualizando automáticamente a la fecha del día concreto. </t>
  </si>
  <si>
    <t>TEXTO</t>
  </si>
  <si>
    <t>La función TEXTO, como su nombre indica, es una función de texto, por lo que el resultado siempre será un tipo de dato texto.</t>
  </si>
  <si>
    <t xml:space="preserve">Lo que ocurre que se aplica sobre datos numéricos. Lo que hacer es obtener texto de un tipo de dato numérico. Como las fechas son datos numéricos, la función TEXTO se aplica sobre ellas para obtener texto de una fecha.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</si>
</sst>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font>
    <font>
      <b/>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horizontal="center" vertical="center"/>
    </xf>
    <xf numFmtId="14" fontId="0" fillId="0" borderId="0" xfId="0" applyNumberFormat="1"/>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75A20-E7E5-4BD1-B223-3BD1ADDD7B88}">
  <dimension ref="A1:R26"/>
  <sheetViews>
    <sheetView tabSelected="1" topLeftCell="N1" workbookViewId="0">
      <selection activeCell="R2" sqref="R2"/>
    </sheetView>
  </sheetViews>
  <sheetFormatPr defaultColWidth="11.42578125" defaultRowHeight="14.45"/>
  <cols>
    <col min="4" max="4" width="16.7109375" bestFit="1" customWidth="1"/>
    <col min="6" max="6" width="14.140625" bestFit="1" customWidth="1"/>
    <col min="7" max="7" width="15.85546875" bestFit="1" customWidth="1"/>
    <col min="9" max="9" width="12.85546875" customWidth="1"/>
    <col min="12" max="12" width="13.42578125" bestFit="1" customWidth="1"/>
  </cols>
  <sheetData>
    <row r="1" spans="1:18" ht="15">
      <c r="A1" s="2" t="s">
        <v>0</v>
      </c>
      <c r="B1" s="2" t="s">
        <v>1</v>
      </c>
      <c r="C1" s="2" t="s">
        <v>2</v>
      </c>
      <c r="D1" s="2" t="s">
        <v>3</v>
      </c>
      <c r="E1" s="2" t="s">
        <v>4</v>
      </c>
      <c r="F1" s="2" t="s">
        <v>5</v>
      </c>
      <c r="G1" s="4" t="s">
        <v>6</v>
      </c>
      <c r="H1" s="2" t="s">
        <v>7</v>
      </c>
      <c r="I1" s="2" t="s">
        <v>8</v>
      </c>
      <c r="J1" s="2" t="s">
        <v>9</v>
      </c>
      <c r="K1" s="2" t="s">
        <v>10</v>
      </c>
      <c r="L1" s="2" t="s">
        <v>11</v>
      </c>
      <c r="M1" s="2" t="s">
        <v>12</v>
      </c>
      <c r="N1" s="2" t="s">
        <v>13</v>
      </c>
      <c r="O1" s="2" t="s">
        <v>14</v>
      </c>
      <c r="P1" s="2" t="s">
        <v>15</v>
      </c>
      <c r="Q1" s="2" t="s">
        <v>16</v>
      </c>
      <c r="R1" s="2" t="s">
        <v>17</v>
      </c>
    </row>
    <row r="2" spans="1:18">
      <c r="A2">
        <v>1</v>
      </c>
      <c r="B2">
        <v>11</v>
      </c>
      <c r="C2">
        <v>2023</v>
      </c>
      <c r="D2" s="3">
        <f>DATE(C2,B2,A2)</f>
        <v>45231</v>
      </c>
      <c r="E2" s="3">
        <f>EOMONTH(D2,2)</f>
        <v>45322</v>
      </c>
      <c r="F2">
        <f>E2-D2</f>
        <v>91</v>
      </c>
      <c r="G2">
        <f>NETWORKDAYS.INTL(D2,E2,1)</f>
        <v>66</v>
      </c>
      <c r="H2" s="3">
        <f ca="1">TODAY()</f>
        <v>46235</v>
      </c>
      <c r="I2" s="3" t="str">
        <f>TEXT(D2,"D")</f>
        <v>1</v>
      </c>
      <c r="J2" t="str">
        <f>TEXT(D2,"DD")</f>
        <v>01</v>
      </c>
      <c r="K2" t="str">
        <f>TEXT(D2,"DDD")</f>
        <v>mié.</v>
      </c>
      <c r="L2" t="str">
        <f>TEXT(D2,"DDDD")</f>
        <v>miércoles</v>
      </c>
      <c r="M2" t="str">
        <f>TEXT(D2,"M")</f>
        <v>11</v>
      </c>
      <c r="N2" t="str">
        <f>TEXT(D2,"MM")</f>
        <v>11</v>
      </c>
      <c r="O2" t="str">
        <f>TEXT(D2,"MMM")</f>
        <v>nov</v>
      </c>
      <c r="P2" t="str">
        <f>TEXT(D2,"MMMM")</f>
        <v>noviembre</v>
      </c>
      <c r="Q2" t="str">
        <f>TEXT(D2,"YY")</f>
        <v>23</v>
      </c>
      <c r="R2" t="str">
        <f>TEXT(D2,"YYYY")</f>
        <v>2023</v>
      </c>
    </row>
    <row r="3" spans="1:18">
      <c r="A3">
        <v>19</v>
      </c>
      <c r="B3">
        <v>9</v>
      </c>
      <c r="C3">
        <v>2023</v>
      </c>
      <c r="D3" s="3">
        <f t="shared" ref="D3:D9" si="0">DATE(C3,B3,A3)</f>
        <v>45188</v>
      </c>
      <c r="E3" s="3">
        <f t="shared" ref="E3:E9" si="1">EOMONTH(D3,2)</f>
        <v>45260</v>
      </c>
      <c r="F3">
        <f t="shared" ref="F3:F9" si="2">E3-D3</f>
        <v>72</v>
      </c>
      <c r="G3">
        <f t="shared" ref="G3:G9" si="3">NETWORKDAYS.INTL(D3,E3,1)</f>
        <v>53</v>
      </c>
      <c r="H3" s="3">
        <f t="shared" ref="H3:H9" ca="1" si="4">TODAY()</f>
        <v>46235</v>
      </c>
      <c r="I3" s="3" t="str">
        <f t="shared" ref="I3:I9" si="5">TEXT(D3,"D")</f>
        <v>19</v>
      </c>
      <c r="J3" t="str">
        <f t="shared" ref="J3:J9" si="6">TEXT(D3,"DD")</f>
        <v>19</v>
      </c>
      <c r="K3" t="str">
        <f t="shared" ref="K3:K9" si="7">TEXT(D3,"DDD")</f>
        <v>mar.</v>
      </c>
      <c r="L3" t="str">
        <f t="shared" ref="L3:L9" si="8">TEXT(D3,"DDDD")</f>
        <v>martes</v>
      </c>
      <c r="M3" t="str">
        <f t="shared" ref="M3:M9" si="9">TEXT(D3,"M")</f>
        <v>9</v>
      </c>
      <c r="N3" t="str">
        <f t="shared" ref="N3:N9" si="10">TEXT(D3,"MM")</f>
        <v>09</v>
      </c>
      <c r="O3" t="str">
        <f t="shared" ref="O3:O9" si="11">TEXT(D3,"MMM")</f>
        <v>sep</v>
      </c>
      <c r="P3" t="str">
        <f t="shared" ref="P3:P9" si="12">TEXT(D3,"MMMM")</f>
        <v>septiembre</v>
      </c>
      <c r="Q3" t="str">
        <f t="shared" ref="Q3:Q9" si="13">TEXT(D3,"YY")</f>
        <v>23</v>
      </c>
      <c r="R3" t="str">
        <f t="shared" ref="R3:R9" si="14">TEXT(D3,"YYYY")</f>
        <v>2023</v>
      </c>
    </row>
    <row r="4" spans="1:18">
      <c r="A4">
        <v>7</v>
      </c>
      <c r="B4">
        <v>4</v>
      </c>
      <c r="C4">
        <v>2023</v>
      </c>
      <c r="D4" s="3">
        <f t="shared" si="0"/>
        <v>45023</v>
      </c>
      <c r="E4" s="3">
        <f t="shared" si="1"/>
        <v>45107</v>
      </c>
      <c r="F4">
        <f t="shared" si="2"/>
        <v>84</v>
      </c>
      <c r="G4">
        <f t="shared" si="3"/>
        <v>61</v>
      </c>
      <c r="H4" s="3">
        <f t="shared" ca="1" si="4"/>
        <v>46235</v>
      </c>
      <c r="I4" s="3" t="str">
        <f t="shared" si="5"/>
        <v>7</v>
      </c>
      <c r="J4" t="str">
        <f t="shared" si="6"/>
        <v>07</v>
      </c>
      <c r="K4" t="str">
        <f t="shared" si="7"/>
        <v>vie.</v>
      </c>
      <c r="L4" t="str">
        <f t="shared" si="8"/>
        <v>viernes</v>
      </c>
      <c r="M4" t="str">
        <f t="shared" si="9"/>
        <v>4</v>
      </c>
      <c r="N4" t="str">
        <f t="shared" si="10"/>
        <v>04</v>
      </c>
      <c r="O4" t="str">
        <f t="shared" si="11"/>
        <v>abr</v>
      </c>
      <c r="P4" t="str">
        <f t="shared" si="12"/>
        <v>abril</v>
      </c>
      <c r="Q4" t="str">
        <f t="shared" si="13"/>
        <v>23</v>
      </c>
      <c r="R4" t="str">
        <f t="shared" si="14"/>
        <v>2023</v>
      </c>
    </row>
    <row r="5" spans="1:18">
      <c r="A5">
        <v>12</v>
      </c>
      <c r="B5">
        <v>4</v>
      </c>
      <c r="C5">
        <v>2023</v>
      </c>
      <c r="D5" s="3">
        <f t="shared" si="0"/>
        <v>45028</v>
      </c>
      <c r="E5" s="3">
        <f t="shared" si="1"/>
        <v>45107</v>
      </c>
      <c r="F5">
        <f t="shared" si="2"/>
        <v>79</v>
      </c>
      <c r="G5">
        <f t="shared" si="3"/>
        <v>58</v>
      </c>
      <c r="H5" s="3">
        <f t="shared" ca="1" si="4"/>
        <v>46235</v>
      </c>
      <c r="I5" s="3" t="str">
        <f t="shared" si="5"/>
        <v>12</v>
      </c>
      <c r="J5" t="str">
        <f t="shared" si="6"/>
        <v>12</v>
      </c>
      <c r="K5" t="str">
        <f t="shared" si="7"/>
        <v>mié.</v>
      </c>
      <c r="L5" t="str">
        <f t="shared" si="8"/>
        <v>miércoles</v>
      </c>
      <c r="M5" t="str">
        <f t="shared" si="9"/>
        <v>4</v>
      </c>
      <c r="N5" t="str">
        <f t="shared" si="10"/>
        <v>04</v>
      </c>
      <c r="O5" t="str">
        <f t="shared" si="11"/>
        <v>abr</v>
      </c>
      <c r="P5" t="str">
        <f t="shared" si="12"/>
        <v>abril</v>
      </c>
      <c r="Q5" t="str">
        <f t="shared" si="13"/>
        <v>23</v>
      </c>
      <c r="R5" t="str">
        <f t="shared" si="14"/>
        <v>2023</v>
      </c>
    </row>
    <row r="6" spans="1:18">
      <c r="A6">
        <v>28</v>
      </c>
      <c r="B6">
        <v>2</v>
      </c>
      <c r="C6">
        <v>2024</v>
      </c>
      <c r="D6" s="3">
        <f t="shared" si="0"/>
        <v>45350</v>
      </c>
      <c r="E6" s="3">
        <f t="shared" si="1"/>
        <v>45412</v>
      </c>
      <c r="F6">
        <f t="shared" si="2"/>
        <v>62</v>
      </c>
      <c r="G6">
        <f t="shared" si="3"/>
        <v>45</v>
      </c>
      <c r="H6" s="3">
        <f t="shared" ca="1" si="4"/>
        <v>46235</v>
      </c>
      <c r="I6" s="3" t="str">
        <f t="shared" si="5"/>
        <v>28</v>
      </c>
      <c r="J6" t="str">
        <f t="shared" si="6"/>
        <v>28</v>
      </c>
      <c r="K6" t="str">
        <f t="shared" si="7"/>
        <v>mié.</v>
      </c>
      <c r="L6" t="str">
        <f t="shared" si="8"/>
        <v>miércoles</v>
      </c>
      <c r="M6" t="str">
        <f t="shared" si="9"/>
        <v>2</v>
      </c>
      <c r="N6" t="str">
        <f t="shared" si="10"/>
        <v>02</v>
      </c>
      <c r="O6" t="str">
        <f t="shared" si="11"/>
        <v>feb</v>
      </c>
      <c r="P6" t="str">
        <f t="shared" si="12"/>
        <v>febrero</v>
      </c>
      <c r="Q6" t="str">
        <f t="shared" si="13"/>
        <v>24</v>
      </c>
      <c r="R6" t="str">
        <f t="shared" si="14"/>
        <v>2024</v>
      </c>
    </row>
    <row r="7" spans="1:18">
      <c r="A7">
        <v>21</v>
      </c>
      <c r="B7">
        <v>5</v>
      </c>
      <c r="C7">
        <v>2023</v>
      </c>
      <c r="D7" s="3">
        <f t="shared" si="0"/>
        <v>45067</v>
      </c>
      <c r="E7" s="3">
        <f t="shared" si="1"/>
        <v>45138</v>
      </c>
      <c r="F7">
        <f t="shared" si="2"/>
        <v>71</v>
      </c>
      <c r="G7">
        <f t="shared" si="3"/>
        <v>51</v>
      </c>
      <c r="H7" s="3">
        <f t="shared" ca="1" si="4"/>
        <v>46235</v>
      </c>
      <c r="I7" s="3" t="str">
        <f t="shared" si="5"/>
        <v>21</v>
      </c>
      <c r="J7" t="str">
        <f t="shared" si="6"/>
        <v>21</v>
      </c>
      <c r="K7" t="str">
        <f t="shared" si="7"/>
        <v>dom.</v>
      </c>
      <c r="L7" t="str">
        <f t="shared" si="8"/>
        <v>domingo</v>
      </c>
      <c r="M7" t="str">
        <f t="shared" si="9"/>
        <v>5</v>
      </c>
      <c r="N7" t="str">
        <f t="shared" si="10"/>
        <v>05</v>
      </c>
      <c r="O7" t="str">
        <f t="shared" si="11"/>
        <v>may</v>
      </c>
      <c r="P7" t="str">
        <f t="shared" si="12"/>
        <v>mayo</v>
      </c>
      <c r="Q7" t="str">
        <f t="shared" si="13"/>
        <v>23</v>
      </c>
      <c r="R7" t="str">
        <f t="shared" si="14"/>
        <v>2023</v>
      </c>
    </row>
    <row r="8" spans="1:18">
      <c r="A8">
        <v>1</v>
      </c>
      <c r="B8">
        <v>5</v>
      </c>
      <c r="C8">
        <v>2023</v>
      </c>
      <c r="D8" s="3">
        <f t="shared" si="0"/>
        <v>45047</v>
      </c>
      <c r="E8" s="3">
        <f t="shared" si="1"/>
        <v>45138</v>
      </c>
      <c r="F8">
        <f t="shared" si="2"/>
        <v>91</v>
      </c>
      <c r="G8">
        <f t="shared" si="3"/>
        <v>66</v>
      </c>
      <c r="H8" s="3">
        <f t="shared" ca="1" si="4"/>
        <v>46235</v>
      </c>
      <c r="I8" s="3" t="str">
        <f t="shared" si="5"/>
        <v>1</v>
      </c>
      <c r="J8" t="str">
        <f t="shared" si="6"/>
        <v>01</v>
      </c>
      <c r="K8" t="str">
        <f t="shared" si="7"/>
        <v>lun.</v>
      </c>
      <c r="L8" t="str">
        <f t="shared" si="8"/>
        <v>lunes</v>
      </c>
      <c r="M8" t="str">
        <f t="shared" si="9"/>
        <v>5</v>
      </c>
      <c r="N8" t="str">
        <f t="shared" si="10"/>
        <v>05</v>
      </c>
      <c r="O8" t="str">
        <f t="shared" si="11"/>
        <v>may</v>
      </c>
      <c r="P8" t="str">
        <f t="shared" si="12"/>
        <v>mayo</v>
      </c>
      <c r="Q8" t="str">
        <f t="shared" si="13"/>
        <v>23</v>
      </c>
      <c r="R8" t="str">
        <f t="shared" si="14"/>
        <v>2023</v>
      </c>
    </row>
    <row r="9" spans="1:18">
      <c r="A9">
        <v>10</v>
      </c>
      <c r="B9">
        <v>6</v>
      </c>
      <c r="C9">
        <v>2024</v>
      </c>
      <c r="D9" s="3">
        <f t="shared" si="0"/>
        <v>45453</v>
      </c>
      <c r="E9" s="3">
        <f t="shared" si="1"/>
        <v>45535</v>
      </c>
      <c r="F9">
        <f t="shared" si="2"/>
        <v>82</v>
      </c>
      <c r="G9">
        <f t="shared" si="3"/>
        <v>60</v>
      </c>
      <c r="H9" s="3">
        <f t="shared" ca="1" si="4"/>
        <v>46235</v>
      </c>
      <c r="I9" s="3" t="str">
        <f t="shared" si="5"/>
        <v>10</v>
      </c>
      <c r="J9" t="str">
        <f t="shared" si="6"/>
        <v>10</v>
      </c>
      <c r="K9" t="str">
        <f t="shared" si="7"/>
        <v>lun.</v>
      </c>
      <c r="L9" t="str">
        <f t="shared" si="8"/>
        <v>lunes</v>
      </c>
      <c r="M9" t="str">
        <f t="shared" si="9"/>
        <v>6</v>
      </c>
      <c r="N9" t="str">
        <f t="shared" si="10"/>
        <v>06</v>
      </c>
      <c r="O9" t="str">
        <f t="shared" si="11"/>
        <v>jun</v>
      </c>
      <c r="P9" t="str">
        <f t="shared" si="12"/>
        <v>junio</v>
      </c>
      <c r="Q9" t="str">
        <f t="shared" si="13"/>
        <v>24</v>
      </c>
      <c r="R9" t="str">
        <f t="shared" si="14"/>
        <v>2024</v>
      </c>
    </row>
    <row r="14" spans="1:18" ht="15">
      <c r="D14" s="1" t="s">
        <v>3</v>
      </c>
      <c r="E14" t="s">
        <v>18</v>
      </c>
    </row>
    <row r="16" spans="1:18" ht="15">
      <c r="D16" s="1" t="s">
        <v>19</v>
      </c>
      <c r="E16" t="s">
        <v>20</v>
      </c>
    </row>
    <row r="18" spans="4:5" ht="15">
      <c r="D18" s="1" t="s">
        <v>21</v>
      </c>
      <c r="E18" t="s">
        <v>22</v>
      </c>
    </row>
    <row r="21" spans="4:5" ht="15">
      <c r="D21" s="1" t="s">
        <v>23</v>
      </c>
      <c r="E21" t="s">
        <v>24</v>
      </c>
    </row>
    <row r="23" spans="4:5" ht="15">
      <c r="D23" s="1" t="s">
        <v>7</v>
      </c>
      <c r="E23" t="s">
        <v>25</v>
      </c>
    </row>
    <row r="25" spans="4:5" ht="15">
      <c r="D25" s="1" t="s">
        <v>26</v>
      </c>
      <c r="E25" t="s">
        <v>27</v>
      </c>
    </row>
    <row r="26" spans="4:5">
      <c r="E26"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Eduardo Cóndor</dc:creator>
  <cp:keywords/>
  <dc:description/>
  <cp:lastModifiedBy/>
  <cp:revision/>
  <dcterms:created xsi:type="dcterms:W3CDTF">2025-03-07T14:39:39Z</dcterms:created>
  <dcterms:modified xsi:type="dcterms:W3CDTF">2026-08-01T13:07:24Z</dcterms:modified>
  <cp:category/>
  <cp:contentStatus/>
</cp:coreProperties>
</file>