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formabyte-my.sharepoint.com/personal/econdor_formabyte_onmicrosoft_com/Documents/CLIENTES/GLOBAL ALUMINI (Empresa Nachete)/AÑO 2025/FICHEROS A ADJUNTAR PARA EL CURSO/000 PARA ADJUNTAR EN EL CURSO/"/>
    </mc:Choice>
  </mc:AlternateContent>
  <xr:revisionPtr revIDLastSave="0" documentId="8_{B109A431-C077-440B-8024-9294816A6CEB}" xr6:coauthVersionLast="47" xr6:coauthVersionMax="47" xr10:uidLastSave="{00000000-0000-0000-0000-000000000000}"/>
  <bookViews>
    <workbookView xWindow="-108" yWindow="-108" windowWidth="23256" windowHeight="12456" xr2:uid="{89E999AA-6E4B-4B8D-BDAC-782C14CC87BB}"/>
  </bookViews>
  <sheets>
    <sheet name="FACTURAS" sheetId="1" r:id="rId1"/>
    <sheet name="FUNCIONES MATRICIALES" sheetId="2" r:id="rId2"/>
  </sheets>
  <definedNames>
    <definedName name="_xlnm._FilterDatabase" localSheetId="0" hidden="1">FACTURAS!$A$1:$G$779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3" i="1" l="1" a="1"/>
  <c r="AN3" i="1"/>
  <c r="AE3" i="1" a="1"/>
  <c r="AE3" i="1"/>
  <c r="V4" i="1" a="1"/>
  <c r="V4" i="1"/>
  <c r="N2" i="1" a="1"/>
  <c r="N2" i="1"/>
  <c r="L2" i="1" a="1"/>
  <c r="L2" i="1"/>
  <c r="K2" i="1" a="1"/>
  <c r="K2" i="1"/>
  <c r="J2" i="1" a="1"/>
  <c r="J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<sst xmlns="http://schemas.openxmlformats.org/spreadsheetml/2006/main" count="3158" uniqueCount="38">
  <si>
    <t>NUMERO</t>
  </si>
  <si>
    <t>CONCEPTO</t>
  </si>
  <si>
    <t>CLIENTE</t>
  </si>
  <si>
    <t>PROVINCIA</t>
  </si>
  <si>
    <t>IMPORTE</t>
  </si>
  <si>
    <t>FECHA</t>
  </si>
  <si>
    <t>PAGADA</t>
  </si>
  <si>
    <t>CONCEPTOS</t>
  </si>
  <si>
    <t>NÚMERO</t>
  </si>
  <si>
    <t>MADRID</t>
  </si>
  <si>
    <t>DESARROLLO</t>
  </si>
  <si>
    <t>CLIENTE-0004</t>
  </si>
  <si>
    <t>SI</t>
  </si>
  <si>
    <t>PROYECTO</t>
  </si>
  <si>
    <t>CLIENTE-0005</t>
  </si>
  <si>
    <t>BARCELONA</t>
  </si>
  <si>
    <t>EQUIPOS</t>
  </si>
  <si>
    <t>CLIENTE-0006</t>
  </si>
  <si>
    <t>PROGRAMA</t>
  </si>
  <si>
    <t>CLIENTE-0007</t>
  </si>
  <si>
    <t>FORMACION</t>
  </si>
  <si>
    <t>CLIENTE-0003</t>
  </si>
  <si>
    <t>CONSULTORIA</t>
  </si>
  <si>
    <t>CLIENTE-0008</t>
  </si>
  <si>
    <t>ALICANTE</t>
  </si>
  <si>
    <t>CLIENTE-0009</t>
  </si>
  <si>
    <t>CLIENTE-0010</t>
  </si>
  <si>
    <t>CLIENTE-0001</t>
  </si>
  <si>
    <t>NO</t>
  </si>
  <si>
    <t>CLIENTE-0002</t>
  </si>
  <si>
    <t>ÚNICOS</t>
  </si>
  <si>
    <t>Devuelve los diferentes elementos de un rango de celdas, bien de una columna de datos o bien de una tabla o rango.</t>
  </si>
  <si>
    <t>ORDENAR</t>
  </si>
  <si>
    <t>Devuelve un rango de celdas seleccionado ordenado por la columna que le indiquemos.</t>
  </si>
  <si>
    <t>FILTRAR</t>
  </si>
  <si>
    <t>Devuelve los registros de una tabla de datos o rango con un filtro aplicado establecido por nosotros.</t>
  </si>
  <si>
    <t>ELEGIRCOLS</t>
  </si>
  <si>
    <t>Mediante la función ELEGIRCOLS podemos traer las columnas que seleccionemos de una tabla o rango específico.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</si>
</sst>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quot;€&quot;_-;\-* #,##0.00\ &quot;€&quot;_-;_-* &quot;-&quot;??\ &quot;€&quot;_-;_-@_-"/>
  </numFmts>
  <fonts count="4">
    <font>
      <sz val="10"/>
      <name val="Arial"/>
      <family val="2"/>
    </font>
    <font>
      <b/>
      <sz val="10"/>
      <name val="Arial"/>
      <family val="2"/>
    </font>
    <font>
      <sz val="12"/>
      <color rgb="FF000000"/>
      <name val="Aptos Narrow"/>
      <scheme val="minor"/>
    </font>
    <font>
      <b/>
      <sz val="12"/>
      <name val="Arial"/>
      <family val="2"/>
    </font>
  </fonts>
  <fills count="4">
    <fill>
      <patternFill patternType="none"/>
    </fill>
    <fill>
      <patternFill patternType="gray125"/>
    </fill>
    <fill>
      <patternFill patternType="solid">
        <fgColor rgb="FFFF5C33"/>
        <bgColor indexed="64"/>
      </patternFill>
    </fill>
    <fill>
      <patternFill patternType="solid">
        <fgColor rgb="FFFF8E7A"/>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vertical="center" wrapText="1"/>
    </xf>
    <xf numFmtId="0" fontId="0" fillId="0" borderId="0" xfId="0" applyAlignment="1">
      <alignment horizontal="center"/>
    </xf>
    <xf numFmtId="164" fontId="0" fillId="0" borderId="0" xfId="0" applyNumberFormat="1"/>
    <xf numFmtId="14" fontId="0" fillId="0" borderId="0" xfId="0" applyNumberFormat="1"/>
    <xf numFmtId="0" fontId="2" fillId="0" borderId="0" xfId="0" applyFont="1"/>
    <xf numFmtId="0" fontId="1" fillId="0" borderId="0" xfId="0" applyFont="1"/>
    <xf numFmtId="0" fontId="3" fillId="0" borderId="0" xfId="0" applyFont="1"/>
    <xf numFmtId="0" fontId="1" fillId="0" borderId="0" xfId="0" applyFont="1" applyAlignment="1">
      <alignment horizontal="center"/>
    </xf>
    <xf numFmtId="0" fontId="1" fillId="2" borderId="0" xfId="0" applyFont="1" applyFill="1" applyAlignment="1">
      <alignment horizontal="center"/>
    </xf>
    <xf numFmtId="0" fontId="0" fillId="2" borderId="0" xfId="0" applyFill="1"/>
    <xf numFmtId="0" fontId="1" fillId="3" borderId="0" xfId="0" applyFont="1" applyFill="1"/>
  </cellXfs>
  <cellStyles count="1">
    <cellStyle name="Normal" xfId="0" builtinId="0"/>
  </cellStyles>
  <dxfs count="9">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dd/mm/yyyy"/>
    </dxf>
    <dxf>
      <numFmt numFmtId="165" formatCode="dd/mm/yyyy"/>
    </dxf>
    <dxf>
      <numFmt numFmtId="164" formatCode="_-* #,##0.00\ &quot;€&quot;_-;\-* #,##0.00\ &quot;€&quot;_-;_-* &quot;-&quot;??\ &quot;€&quot;_-;_-@_-"/>
    </dxf>
    <dxf>
      <numFmt numFmtId="164" formatCode="_-* #,##0.00\ &quot;€&quot;_-;\-* #,##0.00\ &quot;€&quot;_-;_-* &quot;-&quot;??\ &quot;€&quot;_-;_-@_-"/>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dxf>
  </dxfs>
  <tableStyles count="0" defaultTableStyle="TableStyleMedium2" defaultPivotStyle="PivotStyleLight16"/>
  <colors>
    <mruColors>
      <color rgb="FFFF8E7A"/>
      <color rgb="FFFF5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57150</xdr:colOff>
      <xdr:row>1</xdr:row>
      <xdr:rowOff>66675</xdr:rowOff>
    </xdr:from>
    <xdr:to>
      <xdr:col>8</xdr:col>
      <xdr:colOff>9525</xdr:colOff>
      <xdr:row>9</xdr:row>
      <xdr:rowOff>57150</xdr:rowOff>
    </xdr:to>
    <xdr:sp macro="" textlink="">
      <xdr:nvSpPr>
        <xdr:cNvPr id="2" name="Rectángulo redondeado 1">
          <a:extLst>
            <a:ext uri="{FF2B5EF4-FFF2-40B4-BE49-F238E27FC236}">
              <a16:creationId xmlns:a16="http://schemas.microsoft.com/office/drawing/2014/main" id="{2C177E63-0F98-984D-02CA-92B99F0B28DE}"/>
            </a:ext>
          </a:extLst>
        </xdr:cNvPr>
        <xdr:cNvSpPr/>
      </xdr:nvSpPr>
      <xdr:spPr>
        <a:xfrm>
          <a:off x="666750" y="266700"/>
          <a:ext cx="4219575" cy="1285875"/>
        </a:xfrm>
        <a:prstGeom prst="roundRect">
          <a:avLst/>
        </a:prstGeom>
        <a:solidFill>
          <a:srgbClr val="FF5C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a:solidFill>
                <a:schemeClr val="lt1"/>
              </a:solidFill>
              <a:latin typeface="+mn-lt"/>
              <a:ea typeface="+mn-lt"/>
              <a:cs typeface="+mn-lt"/>
            </a:rPr>
            <a:t>Las funciones matriciales son funciones que se escriben en una celda y el resultado lo devuelve a lo largo de un rango de celdas. Es un tipo de función, que en la versión 365 ha cobrado mucha importancia, ya que Excel ha incorporado en dicha versión nuevas funciones matriciales. Las funciones matriciales siempre devuelven valores de los registros de una tabla de datos o de un rango.</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3CCC7E-99A5-4F08-B363-491BCBC695B9}" name="T_FACTURAS" displayName="T_FACTURAS" ref="A1:G779" headerRowDxfId="8">
  <autoFilter ref="A1:G779" xr:uid="{A4B78BC7-81F2-4ED8-B277-62E71824D006}"/>
  <tableColumns count="7">
    <tableColumn id="1" xr3:uid="{1CB192D4-EA0C-43B9-BBA1-2CDE08D46707}" name="NUMERO" totalsRowFunction="count" dataDxfId="6" totalsRowDxfId="7"/>
    <tableColumn id="2" xr3:uid="{39131D54-A941-45B7-91CA-4A993FB4586A}" name="CONCEPTO"/>
    <tableColumn id="3" xr3:uid="{A5B9145C-5D95-4CD0-B85A-E52121BDC3D1}" name="CLIENTE"/>
    <tableColumn id="4" xr3:uid="{0B064180-7933-49FE-81AB-DC7A37DB359D}" name="PROVINCIA"/>
    <tableColumn id="6" xr3:uid="{D1ADAA17-1DA1-4A48-8D0D-81906A88F8DE}" name="IMPORTE" totalsRowFunction="sum" dataDxfId="4" totalsRowDxfId="5"/>
    <tableColumn id="7" xr3:uid="{7CCE4634-E2FF-48E9-990A-F847B822625F}" name="FECHA" totalsRowFunction="min" dataDxfId="2" totalsRowDxfId="3"/>
    <tableColumn id="8" xr3:uid="{D4520979-8034-41A3-B83C-501B0AE7338A}" name="PAGADA" dataDxfId="0" totalsRowDxfId="1"/>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97616-2EC5-4352-AFC9-D5472BB0B355}">
  <dimension ref="A1:AR780"/>
  <sheetViews>
    <sheetView tabSelected="1" topLeftCell="AL1" zoomScaleNormal="100" workbookViewId="0">
      <selection activeCell="AN2" sqref="AN2:AR2"/>
    </sheetView>
  </sheetViews>
  <sheetFormatPr defaultColWidth="11.42578125" defaultRowHeight="13.15"/>
  <cols>
    <col min="1" max="1" width="22.85546875" bestFit="1" customWidth="1"/>
    <col min="2" max="2" width="14.7109375" bestFit="1" customWidth="1"/>
    <col min="3" max="3" width="13.85546875" bestFit="1" customWidth="1"/>
    <col min="4" max="4" width="13.7109375" customWidth="1"/>
    <col min="5" max="5" width="19.42578125" customWidth="1"/>
    <col min="6" max="6" width="21" bestFit="1" customWidth="1"/>
    <col min="7" max="7" width="13.140625" bestFit="1" customWidth="1"/>
    <col min="8" max="8" width="3.28515625" customWidth="1"/>
    <col min="10" max="10" width="14.7109375" bestFit="1" customWidth="1"/>
    <col min="11" max="11" width="12.5703125" bestFit="1" customWidth="1"/>
    <col min="15" max="15" width="14.7109375" bestFit="1" customWidth="1"/>
    <col min="16" max="16" width="13.85546875" bestFit="1" customWidth="1"/>
    <col min="17" max="17" width="12.5703125" bestFit="1" customWidth="1"/>
    <col min="23" max="23" width="14.7109375" bestFit="1" customWidth="1"/>
    <col min="24" max="24" width="13.85546875" bestFit="1" customWidth="1"/>
    <col min="32" max="32" width="14" bestFit="1" customWidth="1"/>
    <col min="41" max="41" width="14.7109375" bestFit="1" customWidth="1"/>
    <col min="42" max="42" width="13.85546875" bestFit="1" customWidth="1"/>
  </cols>
  <sheetData>
    <row r="1" spans="1:44" ht="12.75">
      <c r="A1" s="1" t="s">
        <v>0</v>
      </c>
      <c r="B1" s="1" t="s">
        <v>1</v>
      </c>
      <c r="C1" s="1" t="s">
        <v>2</v>
      </c>
      <c r="D1" s="1" t="s">
        <v>3</v>
      </c>
      <c r="E1" s="1" t="s">
        <v>4</v>
      </c>
      <c r="F1" s="1" t="s">
        <v>5</v>
      </c>
      <c r="G1" s="1" t="s">
        <v>6</v>
      </c>
      <c r="J1" s="6" t="s">
        <v>7</v>
      </c>
      <c r="K1" s="6" t="s">
        <v>3</v>
      </c>
      <c r="L1" s="6" t="s">
        <v>6</v>
      </c>
      <c r="N1" s="8" t="s">
        <v>8</v>
      </c>
      <c r="O1" s="8" t="s">
        <v>1</v>
      </c>
      <c r="P1" s="8" t="s">
        <v>2</v>
      </c>
      <c r="Q1" s="8" t="s">
        <v>3</v>
      </c>
      <c r="R1" s="9" t="s">
        <v>4</v>
      </c>
      <c r="S1" s="8" t="s">
        <v>5</v>
      </c>
      <c r="T1" s="8" t="s">
        <v>6</v>
      </c>
      <c r="V1" s="6" t="s">
        <v>3</v>
      </c>
      <c r="W1" s="11" t="s">
        <v>9</v>
      </c>
    </row>
    <row r="2" spans="1:44" ht="12.75">
      <c r="A2" s="2">
        <v>1</v>
      </c>
      <c r="B2" t="s">
        <v>10</v>
      </c>
      <c r="C2" t="s">
        <v>11</v>
      </c>
      <c r="D2" t="s">
        <v>9</v>
      </c>
      <c r="E2" s="3">
        <v>1200</v>
      </c>
      <c r="F2" s="4">
        <v>43677</v>
      </c>
      <c r="G2" s="2" t="s">
        <v>12</v>
      </c>
      <c r="J2" t="str" cm="1">
        <f t="array" ref="J2:J7">_xlfn.UNIQUE(T_FACTURAS[CONCEPTO])</f>
        <v>DESARROLLO</v>
      </c>
      <c r="K2" t="str" cm="1">
        <f t="array" ref="K2:K4">_xlfn.UNIQUE(T_FACTURAS[PROVINCIA])</f>
        <v>MADRID</v>
      </c>
      <c r="L2" t="str" cm="1">
        <f t="array" ref="L2:L3">_xlfn.UNIQUE(T_FACTURAS[PAGADA])</f>
        <v>SI</v>
      </c>
      <c r="N2" cm="1">
        <f t="array" ref="N2:T779">_xlfn._xlws.SORT(T_FACTURAS[],5)</f>
        <v>18</v>
      </c>
      <c r="O2" t="str">
        <v>PROYECTO</v>
      </c>
      <c r="P2" t="str">
        <v>CLIENTE-0003</v>
      </c>
      <c r="Q2" t="str">
        <v>MADRID</v>
      </c>
      <c r="R2" s="10">
        <v>120</v>
      </c>
      <c r="S2">
        <v>43648</v>
      </c>
      <c r="T2" t="str">
        <v>NO</v>
      </c>
      <c r="AE2" s="11" t="s">
        <v>0</v>
      </c>
      <c r="AF2" s="11" t="s">
        <v>1</v>
      </c>
      <c r="AG2" s="11" t="s">
        <v>2</v>
      </c>
      <c r="AH2" s="11" t="s">
        <v>3</v>
      </c>
      <c r="AI2" s="11" t="s">
        <v>4</v>
      </c>
      <c r="AJ2" s="11" t="s">
        <v>5</v>
      </c>
      <c r="AK2" s="11" t="s">
        <v>6</v>
      </c>
      <c r="AN2" s="11" t="s">
        <v>0</v>
      </c>
      <c r="AO2" s="11" t="s">
        <v>1</v>
      </c>
      <c r="AP2" s="11" t="s">
        <v>2</v>
      </c>
      <c r="AQ2" s="11" t="s">
        <v>4</v>
      </c>
      <c r="AR2" s="11" t="s">
        <v>6</v>
      </c>
    </row>
    <row r="3" spans="1:44" ht="12.75">
      <c r="A3" s="2">
        <v>2</v>
      </c>
      <c r="B3" t="s">
        <v>13</v>
      </c>
      <c r="C3" t="s">
        <v>14</v>
      </c>
      <c r="D3" t="s">
        <v>15</v>
      </c>
      <c r="E3" s="3">
        <v>800</v>
      </c>
      <c r="F3" s="4">
        <v>44349</v>
      </c>
      <c r="G3" s="2" t="s">
        <v>12</v>
      </c>
      <c r="J3" t="str">
        <v>PROYECTO</v>
      </c>
      <c r="K3" t="str">
        <v>BARCELONA</v>
      </c>
      <c r="L3" t="str">
        <v>NO</v>
      </c>
      <c r="N3">
        <v>22</v>
      </c>
      <c r="O3" t="str">
        <v>CONSULTORIA</v>
      </c>
      <c r="P3" t="str">
        <v>CLIENTE-0007</v>
      </c>
      <c r="Q3" t="str">
        <v>BARCELONA</v>
      </c>
      <c r="R3" s="10">
        <v>120</v>
      </c>
      <c r="S3">
        <v>43560</v>
      </c>
      <c r="T3" t="str">
        <v>SI</v>
      </c>
      <c r="V3" s="6" t="s">
        <v>0</v>
      </c>
      <c r="W3" s="6" t="s">
        <v>1</v>
      </c>
      <c r="X3" s="6" t="s">
        <v>2</v>
      </c>
      <c r="Y3" s="6" t="s">
        <v>3</v>
      </c>
      <c r="Z3" s="6" t="s">
        <v>4</v>
      </c>
      <c r="AA3" s="6" t="s">
        <v>5</v>
      </c>
      <c r="AB3" s="6" t="s">
        <v>6</v>
      </c>
      <c r="AE3" cm="1">
        <f t="array" ref="AE3:AK143">_xlfn._xlws.SORT(_xlfn._xlws.FILTER(T_FACTURAS[],T_FACTURAS[CONCEPTO]="DESARROLLO"),5,-1)</f>
        <v>13</v>
      </c>
      <c r="AF3" t="str">
        <v>DESARROLLO</v>
      </c>
      <c r="AG3" t="str">
        <v>CLIENTE-0010</v>
      </c>
      <c r="AH3" t="str">
        <v>MADRID</v>
      </c>
      <c r="AI3">
        <v>8500</v>
      </c>
      <c r="AJ3">
        <v>44356</v>
      </c>
      <c r="AK3" t="str">
        <v>SI</v>
      </c>
      <c r="AN3" cm="1">
        <f t="array" ref="AN3:AR780">_xlfn.CHOOSECOLS(T_FACTURAS[],1,2,3,5,7)</f>
        <v>1</v>
      </c>
      <c r="AO3" t="str">
        <v>DESARROLLO</v>
      </c>
      <c r="AP3" t="str">
        <v>CLIENTE-0004</v>
      </c>
      <c r="AQ3">
        <v>1200</v>
      </c>
      <c r="AR3" t="str">
        <v>SI</v>
      </c>
    </row>
    <row r="4" spans="1:44">
      <c r="A4" s="2">
        <v>3</v>
      </c>
      <c r="B4" t="s">
        <v>16</v>
      </c>
      <c r="C4" t="s">
        <v>17</v>
      </c>
      <c r="D4" t="s">
        <v>15</v>
      </c>
      <c r="E4" s="3">
        <v>750</v>
      </c>
      <c r="F4" s="4">
        <v>43934</v>
      </c>
      <c r="G4" s="2" t="s">
        <v>12</v>
      </c>
      <c r="J4" t="str">
        <v>EQUIPOS</v>
      </c>
      <c r="K4" t="str">
        <v>ALICANTE</v>
      </c>
      <c r="N4">
        <v>41</v>
      </c>
      <c r="O4" t="str">
        <v>CONSULTORIA</v>
      </c>
      <c r="P4" t="str">
        <v>CLIENTE-0006</v>
      </c>
      <c r="Q4" t="str">
        <v>BARCELONA</v>
      </c>
      <c r="R4" s="10">
        <v>120</v>
      </c>
      <c r="S4">
        <v>43594</v>
      </c>
      <c r="T4" t="str">
        <v>SI</v>
      </c>
      <c r="V4" cm="1">
        <f t="array" ref="V4:AB321">_xlfn._xlws.FILTER(T_FACTURAS[],T_FACTURAS[PROVINCIA]=$W$1,"NO HAY FACTURAS")</f>
        <v>1</v>
      </c>
      <c r="W4" t="str">
        <v>DESARROLLO</v>
      </c>
      <c r="X4" t="str">
        <v>CLIENTE-0004</v>
      </c>
      <c r="Y4" t="str">
        <v>MADRID</v>
      </c>
      <c r="Z4">
        <v>1200</v>
      </c>
      <c r="AA4">
        <v>43677</v>
      </c>
      <c r="AB4" t="str">
        <v>SI</v>
      </c>
      <c r="AE4">
        <v>36</v>
      </c>
      <c r="AF4" t="str">
        <v>DESARROLLO</v>
      </c>
      <c r="AG4" t="str">
        <v>CLIENTE-0001</v>
      </c>
      <c r="AH4" t="str">
        <v>MADRID</v>
      </c>
      <c r="AI4">
        <v>8500</v>
      </c>
      <c r="AJ4">
        <v>43883</v>
      </c>
      <c r="AK4" t="str">
        <v>SI</v>
      </c>
      <c r="AN4">
        <v>2</v>
      </c>
      <c r="AO4" t="str">
        <v>PROYECTO</v>
      </c>
      <c r="AP4" t="str">
        <v>CLIENTE-0005</v>
      </c>
      <c r="AQ4">
        <v>800</v>
      </c>
      <c r="AR4" t="str">
        <v>SI</v>
      </c>
    </row>
    <row r="5" spans="1:44">
      <c r="A5" s="2">
        <v>4</v>
      </c>
      <c r="B5" t="s">
        <v>18</v>
      </c>
      <c r="C5" t="s">
        <v>19</v>
      </c>
      <c r="D5" t="s">
        <v>15</v>
      </c>
      <c r="E5" s="3">
        <v>4500</v>
      </c>
      <c r="F5" s="4">
        <v>43909</v>
      </c>
      <c r="G5" s="2" t="s">
        <v>12</v>
      </c>
      <c r="J5" t="str">
        <v>PROGRAMA</v>
      </c>
      <c r="N5">
        <v>45</v>
      </c>
      <c r="O5" t="str">
        <v>PROGRAMA</v>
      </c>
      <c r="P5" t="str">
        <v>CLIENTE-0010</v>
      </c>
      <c r="Q5" t="str">
        <v>MADRID</v>
      </c>
      <c r="R5" s="10">
        <v>120</v>
      </c>
      <c r="S5">
        <v>44382</v>
      </c>
      <c r="T5" t="str">
        <v>NO</v>
      </c>
      <c r="V5">
        <v>5</v>
      </c>
      <c r="W5" t="str">
        <v>FORMACION</v>
      </c>
      <c r="X5" t="str">
        <v>CLIENTE-0003</v>
      </c>
      <c r="Y5" t="str">
        <v>MADRID</v>
      </c>
      <c r="Z5">
        <v>500</v>
      </c>
      <c r="AA5">
        <v>43785</v>
      </c>
      <c r="AB5" t="str">
        <v>SI</v>
      </c>
      <c r="AE5">
        <v>82</v>
      </c>
      <c r="AF5" t="str">
        <v>DESARROLLO</v>
      </c>
      <c r="AG5" t="str">
        <v>CLIENTE-0002</v>
      </c>
      <c r="AH5" t="str">
        <v>ALICANTE</v>
      </c>
      <c r="AI5">
        <v>8500</v>
      </c>
      <c r="AJ5">
        <v>43717</v>
      </c>
      <c r="AK5" t="str">
        <v>SI</v>
      </c>
      <c r="AN5">
        <v>3</v>
      </c>
      <c r="AO5" t="str">
        <v>EQUIPOS</v>
      </c>
      <c r="AP5" t="str">
        <v>CLIENTE-0006</v>
      </c>
      <c r="AQ5">
        <v>750</v>
      </c>
      <c r="AR5" t="str">
        <v>SI</v>
      </c>
    </row>
    <row r="6" spans="1:44">
      <c r="A6" s="2">
        <v>5</v>
      </c>
      <c r="B6" t="s">
        <v>20</v>
      </c>
      <c r="C6" t="s">
        <v>21</v>
      </c>
      <c r="D6" t="s">
        <v>9</v>
      </c>
      <c r="E6" s="3">
        <v>500</v>
      </c>
      <c r="F6" s="4">
        <v>43785</v>
      </c>
      <c r="G6" s="2" t="s">
        <v>12</v>
      </c>
      <c r="J6" t="str">
        <v>FORMACION</v>
      </c>
      <c r="N6">
        <v>52</v>
      </c>
      <c r="O6" t="str">
        <v>FORMACION</v>
      </c>
      <c r="P6" t="str">
        <v>CLIENTE-0005</v>
      </c>
      <c r="Q6" t="str">
        <v>BARCELONA</v>
      </c>
      <c r="R6" s="10">
        <v>120</v>
      </c>
      <c r="S6">
        <v>44437</v>
      </c>
      <c r="T6" t="str">
        <v>SI</v>
      </c>
      <c r="V6">
        <v>6</v>
      </c>
      <c r="W6" t="str">
        <v>CONSULTORIA</v>
      </c>
      <c r="X6" t="str">
        <v>CLIENTE-0004</v>
      </c>
      <c r="Y6" t="str">
        <v>MADRID</v>
      </c>
      <c r="Z6">
        <v>750</v>
      </c>
      <c r="AA6">
        <v>43514</v>
      </c>
      <c r="AB6" t="str">
        <v>SI</v>
      </c>
      <c r="AE6">
        <v>105</v>
      </c>
      <c r="AF6" t="str">
        <v>DESARROLLO</v>
      </c>
      <c r="AG6" t="str">
        <v>CLIENTE-0010</v>
      </c>
      <c r="AH6" t="str">
        <v>MADRID</v>
      </c>
      <c r="AI6">
        <v>8500</v>
      </c>
      <c r="AJ6">
        <v>44206</v>
      </c>
      <c r="AK6" t="str">
        <v>SI</v>
      </c>
      <c r="AN6">
        <v>4</v>
      </c>
      <c r="AO6" t="str">
        <v>PROGRAMA</v>
      </c>
      <c r="AP6" t="str">
        <v>CLIENTE-0007</v>
      </c>
      <c r="AQ6">
        <v>4500</v>
      </c>
      <c r="AR6" t="str">
        <v>SI</v>
      </c>
    </row>
    <row r="7" spans="1:44">
      <c r="A7" s="2">
        <v>6</v>
      </c>
      <c r="B7" t="s">
        <v>22</v>
      </c>
      <c r="C7" t="s">
        <v>11</v>
      </c>
      <c r="D7" t="s">
        <v>9</v>
      </c>
      <c r="E7" s="3">
        <v>750</v>
      </c>
      <c r="F7" s="4">
        <v>43514</v>
      </c>
      <c r="G7" s="2" t="s">
        <v>12</v>
      </c>
      <c r="J7" t="str">
        <v>CONSULTORIA</v>
      </c>
      <c r="N7">
        <v>56</v>
      </c>
      <c r="O7" t="str">
        <v>EQUIPOS</v>
      </c>
      <c r="P7" t="str">
        <v>CLIENTE-0008</v>
      </c>
      <c r="Q7" t="str">
        <v>ALICANTE</v>
      </c>
      <c r="R7" s="10">
        <v>120</v>
      </c>
      <c r="S7">
        <v>44537</v>
      </c>
      <c r="T7" t="str">
        <v>SI</v>
      </c>
      <c r="V7">
        <v>13</v>
      </c>
      <c r="W7" t="str">
        <v>DESARROLLO</v>
      </c>
      <c r="X7" t="str">
        <v>CLIENTE-0010</v>
      </c>
      <c r="Y7" t="str">
        <v>MADRID</v>
      </c>
      <c r="Z7">
        <v>8500</v>
      </c>
      <c r="AA7">
        <v>44356</v>
      </c>
      <c r="AB7" t="str">
        <v>SI</v>
      </c>
      <c r="AE7">
        <v>615</v>
      </c>
      <c r="AF7" t="str">
        <v>DESARROLLO</v>
      </c>
      <c r="AG7" t="str">
        <v>CLIENTE-0007</v>
      </c>
      <c r="AH7" t="str">
        <v>BARCELONA</v>
      </c>
      <c r="AI7">
        <v>8500</v>
      </c>
      <c r="AJ7">
        <v>44036</v>
      </c>
      <c r="AK7" t="str">
        <v>SI</v>
      </c>
      <c r="AN7">
        <v>5</v>
      </c>
      <c r="AO7" t="str">
        <v>FORMACION</v>
      </c>
      <c r="AP7" t="str">
        <v>CLIENTE-0003</v>
      </c>
      <c r="AQ7">
        <v>500</v>
      </c>
      <c r="AR7" t="str">
        <v>SI</v>
      </c>
    </row>
    <row r="8" spans="1:44">
      <c r="A8" s="2">
        <v>7</v>
      </c>
      <c r="B8" t="s">
        <v>10</v>
      </c>
      <c r="C8" t="s">
        <v>14</v>
      </c>
      <c r="D8" t="s">
        <v>15</v>
      </c>
      <c r="E8" s="3">
        <v>950</v>
      </c>
      <c r="F8" s="4">
        <v>43544</v>
      </c>
      <c r="G8" s="2" t="s">
        <v>12</v>
      </c>
      <c r="N8">
        <v>87</v>
      </c>
      <c r="O8" t="str">
        <v>CONSULTORIA</v>
      </c>
      <c r="P8" t="str">
        <v>CLIENTE-0007</v>
      </c>
      <c r="Q8" t="str">
        <v>BARCELONA</v>
      </c>
      <c r="R8" s="10">
        <v>120</v>
      </c>
      <c r="S8">
        <v>44113</v>
      </c>
      <c r="T8" t="str">
        <v>NO</v>
      </c>
      <c r="V8">
        <v>14</v>
      </c>
      <c r="W8" t="str">
        <v>PROYECTO</v>
      </c>
      <c r="X8" t="str">
        <v>CLIENTE-0001</v>
      </c>
      <c r="Y8" t="str">
        <v>MADRID</v>
      </c>
      <c r="Z8">
        <v>1200</v>
      </c>
      <c r="AA8">
        <v>44257</v>
      </c>
      <c r="AB8" t="str">
        <v>SI</v>
      </c>
      <c r="AE8">
        <v>667</v>
      </c>
      <c r="AF8" t="str">
        <v>DESARROLLO</v>
      </c>
      <c r="AG8" t="str">
        <v>CLIENTE-0010</v>
      </c>
      <c r="AH8" t="str">
        <v>MADRID</v>
      </c>
      <c r="AI8">
        <v>8500</v>
      </c>
      <c r="AJ8">
        <v>44112</v>
      </c>
      <c r="AK8" t="str">
        <v>SI</v>
      </c>
      <c r="AN8">
        <v>6</v>
      </c>
      <c r="AO8" t="str">
        <v>CONSULTORIA</v>
      </c>
      <c r="AP8" t="str">
        <v>CLIENTE-0004</v>
      </c>
      <c r="AQ8">
        <v>750</v>
      </c>
      <c r="AR8" t="str">
        <v>SI</v>
      </c>
    </row>
    <row r="9" spans="1:44">
      <c r="A9" s="2">
        <v>8</v>
      </c>
      <c r="B9" t="s">
        <v>13</v>
      </c>
      <c r="C9" t="s">
        <v>14</v>
      </c>
      <c r="D9" t="s">
        <v>15</v>
      </c>
      <c r="E9" s="3">
        <v>680</v>
      </c>
      <c r="F9" s="4">
        <v>43669</v>
      </c>
      <c r="G9" s="2" t="s">
        <v>12</v>
      </c>
      <c r="N9">
        <v>91</v>
      </c>
      <c r="O9" t="str">
        <v>EQUIPOS</v>
      </c>
      <c r="P9" t="str">
        <v>CLIENTE-0004</v>
      </c>
      <c r="Q9" t="str">
        <v>MADRID</v>
      </c>
      <c r="R9" s="10">
        <v>120</v>
      </c>
      <c r="S9">
        <v>43720</v>
      </c>
      <c r="T9" t="str">
        <v>SI</v>
      </c>
      <c r="V9">
        <v>15</v>
      </c>
      <c r="W9" t="str">
        <v>EQUIPOS</v>
      </c>
      <c r="X9" t="str">
        <v>CLIENTE-0010</v>
      </c>
      <c r="Y9" t="str">
        <v>MADRID</v>
      </c>
      <c r="Z9">
        <v>300</v>
      </c>
      <c r="AA9">
        <v>43517</v>
      </c>
      <c r="AB9" t="str">
        <v>NO</v>
      </c>
      <c r="AE9">
        <v>690</v>
      </c>
      <c r="AF9" t="str">
        <v>DESARROLLO</v>
      </c>
      <c r="AG9" t="str">
        <v>CLIENTE-0010</v>
      </c>
      <c r="AH9" t="str">
        <v>MADRID</v>
      </c>
      <c r="AI9">
        <v>8500</v>
      </c>
      <c r="AJ9">
        <v>43910</v>
      </c>
      <c r="AK9" t="str">
        <v>SI</v>
      </c>
      <c r="AN9">
        <v>7</v>
      </c>
      <c r="AO9" t="str">
        <v>DESARROLLO</v>
      </c>
      <c r="AP9" t="str">
        <v>CLIENTE-0005</v>
      </c>
      <c r="AQ9">
        <v>950</v>
      </c>
      <c r="AR9" t="str">
        <v>SI</v>
      </c>
    </row>
    <row r="10" spans="1:44">
      <c r="A10" s="2">
        <v>9</v>
      </c>
      <c r="B10" t="s">
        <v>16</v>
      </c>
      <c r="C10" t="s">
        <v>17</v>
      </c>
      <c r="D10" t="s">
        <v>15</v>
      </c>
      <c r="E10" s="3">
        <v>950</v>
      </c>
      <c r="F10" s="4">
        <v>44554</v>
      </c>
      <c r="G10" s="2" t="s">
        <v>12</v>
      </c>
      <c r="N10">
        <v>110</v>
      </c>
      <c r="O10" t="str">
        <v>CONSULTORIA</v>
      </c>
      <c r="P10" t="str">
        <v>CLIENTE-0005</v>
      </c>
      <c r="Q10" t="str">
        <v>BARCELONA</v>
      </c>
      <c r="R10" s="10">
        <v>120</v>
      </c>
      <c r="S10">
        <v>44081</v>
      </c>
      <c r="T10" t="str">
        <v>SI</v>
      </c>
      <c r="V10">
        <v>16</v>
      </c>
      <c r="W10" t="str">
        <v>CONSULTORIA</v>
      </c>
      <c r="X10" t="str">
        <v>CLIENTE-0001</v>
      </c>
      <c r="Y10" t="str">
        <v>MADRID</v>
      </c>
      <c r="Z10">
        <v>200</v>
      </c>
      <c r="AA10">
        <v>43873</v>
      </c>
      <c r="AB10" t="str">
        <v>NO</v>
      </c>
      <c r="AE10">
        <v>766</v>
      </c>
      <c r="AF10" t="str">
        <v>DESARROLLO</v>
      </c>
      <c r="AG10" t="str">
        <v>CLIENTE-0005</v>
      </c>
      <c r="AH10" t="str">
        <v>BARCELONA</v>
      </c>
      <c r="AI10">
        <v>8500</v>
      </c>
      <c r="AJ10">
        <v>44555</v>
      </c>
      <c r="AK10" t="str">
        <v>SI</v>
      </c>
      <c r="AN10">
        <v>8</v>
      </c>
      <c r="AO10" t="str">
        <v>PROYECTO</v>
      </c>
      <c r="AP10" t="str">
        <v>CLIENTE-0005</v>
      </c>
      <c r="AQ10">
        <v>680</v>
      </c>
      <c r="AR10" t="str">
        <v>SI</v>
      </c>
    </row>
    <row r="11" spans="1:44">
      <c r="A11" s="2">
        <v>10</v>
      </c>
      <c r="B11" t="s">
        <v>18</v>
      </c>
      <c r="C11" t="s">
        <v>19</v>
      </c>
      <c r="D11" t="s">
        <v>15</v>
      </c>
      <c r="E11" s="3">
        <v>1500</v>
      </c>
      <c r="F11" s="4">
        <v>43584</v>
      </c>
      <c r="G11" s="2" t="s">
        <v>12</v>
      </c>
      <c r="N11">
        <v>114</v>
      </c>
      <c r="O11" t="str">
        <v>PROGRAMA</v>
      </c>
      <c r="P11" t="str">
        <v>CLIENTE-0009</v>
      </c>
      <c r="Q11" t="str">
        <v>ALICANTE</v>
      </c>
      <c r="R11" s="10">
        <v>120</v>
      </c>
      <c r="S11">
        <v>43752</v>
      </c>
      <c r="T11" t="str">
        <v>NO</v>
      </c>
      <c r="V11">
        <v>18</v>
      </c>
      <c r="W11" t="str">
        <v>PROYECTO</v>
      </c>
      <c r="X11" t="str">
        <v>CLIENTE-0003</v>
      </c>
      <c r="Y11" t="str">
        <v>MADRID</v>
      </c>
      <c r="Z11">
        <v>120</v>
      </c>
      <c r="AA11">
        <v>43648</v>
      </c>
      <c r="AB11" t="str">
        <v>NO</v>
      </c>
      <c r="AE11">
        <v>242</v>
      </c>
      <c r="AF11" t="str">
        <v>DESARROLLO</v>
      </c>
      <c r="AG11" t="str">
        <v>CLIENTE-0007</v>
      </c>
      <c r="AH11" t="str">
        <v>BARCELONA</v>
      </c>
      <c r="AI11">
        <v>6500</v>
      </c>
      <c r="AJ11">
        <v>44135</v>
      </c>
      <c r="AK11" t="str">
        <v>SI</v>
      </c>
      <c r="AN11">
        <v>9</v>
      </c>
      <c r="AO11" t="str">
        <v>EQUIPOS</v>
      </c>
      <c r="AP11" t="str">
        <v>CLIENTE-0006</v>
      </c>
      <c r="AQ11">
        <v>950</v>
      </c>
      <c r="AR11" t="str">
        <v>SI</v>
      </c>
    </row>
    <row r="12" spans="1:44">
      <c r="A12" s="2">
        <v>11</v>
      </c>
      <c r="B12" t="s">
        <v>20</v>
      </c>
      <c r="C12" t="s">
        <v>23</v>
      </c>
      <c r="D12" t="s">
        <v>24</v>
      </c>
      <c r="E12" s="3">
        <v>5000</v>
      </c>
      <c r="F12" s="4">
        <v>44050</v>
      </c>
      <c r="G12" s="2" t="s">
        <v>12</v>
      </c>
      <c r="N12">
        <v>121</v>
      </c>
      <c r="O12" t="str">
        <v>PROYECTO</v>
      </c>
      <c r="P12" t="str">
        <v>CLIENTE-0008</v>
      </c>
      <c r="Q12" t="str">
        <v>ALICANTE</v>
      </c>
      <c r="R12" s="10">
        <v>120</v>
      </c>
      <c r="S12">
        <v>44196</v>
      </c>
      <c r="T12" t="str">
        <v>SI</v>
      </c>
      <c r="V12">
        <v>19</v>
      </c>
      <c r="W12" t="str">
        <v>EQUIPOS</v>
      </c>
      <c r="X12" t="str">
        <v>CLIENTE-0004</v>
      </c>
      <c r="Y12" t="str">
        <v>MADRID</v>
      </c>
      <c r="Z12">
        <v>300</v>
      </c>
      <c r="AA12">
        <v>43800</v>
      </c>
      <c r="AB12" t="str">
        <v>NO</v>
      </c>
      <c r="AE12">
        <v>430</v>
      </c>
      <c r="AF12" t="str">
        <v>DESARROLLO</v>
      </c>
      <c r="AG12" t="str">
        <v>CLIENTE-0010</v>
      </c>
      <c r="AH12" t="str">
        <v>MADRID</v>
      </c>
      <c r="AI12">
        <v>6500</v>
      </c>
      <c r="AJ12">
        <v>44123</v>
      </c>
      <c r="AK12" t="str">
        <v>SI</v>
      </c>
      <c r="AN12">
        <v>10</v>
      </c>
      <c r="AO12" t="str">
        <v>PROGRAMA</v>
      </c>
      <c r="AP12" t="str">
        <v>CLIENTE-0007</v>
      </c>
      <c r="AQ12">
        <v>1500</v>
      </c>
      <c r="AR12" t="str">
        <v>SI</v>
      </c>
    </row>
    <row r="13" spans="1:44">
      <c r="A13" s="2">
        <v>12</v>
      </c>
      <c r="B13" t="s">
        <v>22</v>
      </c>
      <c r="C13" t="s">
        <v>25</v>
      </c>
      <c r="D13" t="s">
        <v>24</v>
      </c>
      <c r="E13" s="3">
        <v>6500</v>
      </c>
      <c r="F13" s="4">
        <v>43539</v>
      </c>
      <c r="G13" s="2" t="s">
        <v>12</v>
      </c>
      <c r="N13">
        <v>125</v>
      </c>
      <c r="O13" t="str">
        <v>PROYECTO</v>
      </c>
      <c r="P13" t="str">
        <v>CLIENTE-0010</v>
      </c>
      <c r="Q13" t="str">
        <v>MADRID</v>
      </c>
      <c r="R13" s="10">
        <v>120</v>
      </c>
      <c r="S13">
        <v>43946</v>
      </c>
      <c r="T13" t="str">
        <v>SI</v>
      </c>
      <c r="V13">
        <v>25</v>
      </c>
      <c r="W13" t="str">
        <v>EQUIPOS</v>
      </c>
      <c r="X13" t="str">
        <v>CLIENTE-0010</v>
      </c>
      <c r="Y13" t="str">
        <v>MADRID</v>
      </c>
      <c r="Z13">
        <v>800</v>
      </c>
      <c r="AA13">
        <v>43552</v>
      </c>
      <c r="AB13" t="str">
        <v>SI</v>
      </c>
      <c r="AE13">
        <v>580</v>
      </c>
      <c r="AF13" t="str">
        <v>DESARROLLO</v>
      </c>
      <c r="AG13" t="str">
        <v>CLIENTE-0005</v>
      </c>
      <c r="AH13" t="str">
        <v>BARCELONA</v>
      </c>
      <c r="AI13">
        <v>6500</v>
      </c>
      <c r="AJ13">
        <v>43942</v>
      </c>
      <c r="AK13" t="str">
        <v>NO</v>
      </c>
      <c r="AN13">
        <v>11</v>
      </c>
      <c r="AO13" t="str">
        <v>FORMACION</v>
      </c>
      <c r="AP13" t="str">
        <v>CLIENTE-0008</v>
      </c>
      <c r="AQ13">
        <v>5000</v>
      </c>
      <c r="AR13" t="str">
        <v>SI</v>
      </c>
    </row>
    <row r="14" spans="1:44">
      <c r="A14" s="2">
        <v>13</v>
      </c>
      <c r="B14" t="s">
        <v>10</v>
      </c>
      <c r="C14" t="s">
        <v>26</v>
      </c>
      <c r="D14" t="s">
        <v>9</v>
      </c>
      <c r="E14" s="3">
        <v>8500</v>
      </c>
      <c r="F14" s="4">
        <v>44356</v>
      </c>
      <c r="G14" s="2" t="s">
        <v>12</v>
      </c>
      <c r="N14">
        <v>156</v>
      </c>
      <c r="O14" t="str">
        <v>EQUIPOS</v>
      </c>
      <c r="P14" t="str">
        <v>CLIENTE-0006</v>
      </c>
      <c r="Q14" t="str">
        <v>BARCELONA</v>
      </c>
      <c r="R14" s="10">
        <v>120</v>
      </c>
      <c r="S14">
        <v>44443</v>
      </c>
      <c r="T14" t="str">
        <v>NO</v>
      </c>
      <c r="V14">
        <v>26</v>
      </c>
      <c r="W14" t="str">
        <v>PROGRAMA</v>
      </c>
      <c r="X14" t="str">
        <v>CLIENTE-0004</v>
      </c>
      <c r="Y14" t="str">
        <v>MADRID</v>
      </c>
      <c r="Z14">
        <v>750</v>
      </c>
      <c r="AA14">
        <v>43931</v>
      </c>
      <c r="AB14" t="str">
        <v>SI</v>
      </c>
      <c r="AE14">
        <v>218</v>
      </c>
      <c r="AF14" t="str">
        <v>DESARROLLO</v>
      </c>
      <c r="AG14" t="str">
        <v>CLIENTE-0008</v>
      </c>
      <c r="AH14" t="str">
        <v>ALICANTE</v>
      </c>
      <c r="AI14">
        <v>5000</v>
      </c>
      <c r="AJ14">
        <v>43813</v>
      </c>
      <c r="AK14" t="str">
        <v>SI</v>
      </c>
      <c r="AN14">
        <v>12</v>
      </c>
      <c r="AO14" t="str">
        <v>CONSULTORIA</v>
      </c>
      <c r="AP14" t="str">
        <v>CLIENTE-0009</v>
      </c>
      <c r="AQ14">
        <v>6500</v>
      </c>
      <c r="AR14" t="str">
        <v>SI</v>
      </c>
    </row>
    <row r="15" spans="1:44">
      <c r="A15" s="2">
        <v>14</v>
      </c>
      <c r="B15" t="s">
        <v>13</v>
      </c>
      <c r="C15" t="s">
        <v>27</v>
      </c>
      <c r="D15" t="s">
        <v>9</v>
      </c>
      <c r="E15" s="3">
        <v>1200</v>
      </c>
      <c r="F15" s="4">
        <v>44257</v>
      </c>
      <c r="G15" s="2" t="s">
        <v>12</v>
      </c>
      <c r="N15">
        <v>160</v>
      </c>
      <c r="O15" t="str">
        <v>EQUIPOS</v>
      </c>
      <c r="P15" t="str">
        <v>CLIENTE-0010</v>
      </c>
      <c r="Q15" t="str">
        <v>MADRID</v>
      </c>
      <c r="R15" s="10">
        <v>120</v>
      </c>
      <c r="S15">
        <v>43982</v>
      </c>
      <c r="T15" t="str">
        <v>SI</v>
      </c>
      <c r="V15">
        <v>33</v>
      </c>
      <c r="W15" t="str">
        <v>PROYECTO</v>
      </c>
      <c r="X15" t="str">
        <v>CLIENTE-0010</v>
      </c>
      <c r="Y15" t="str">
        <v>MADRID</v>
      </c>
      <c r="Z15">
        <v>1500</v>
      </c>
      <c r="AA15">
        <v>43753</v>
      </c>
      <c r="AB15" t="str">
        <v>SI</v>
      </c>
      <c r="AE15">
        <v>318</v>
      </c>
      <c r="AF15" t="str">
        <v>DESARROLLO</v>
      </c>
      <c r="AG15" t="str">
        <v>CLIENTE-0009</v>
      </c>
      <c r="AH15" t="str">
        <v>ALICANTE</v>
      </c>
      <c r="AI15">
        <v>5000</v>
      </c>
      <c r="AJ15">
        <v>43955</v>
      </c>
      <c r="AK15" t="str">
        <v>SI</v>
      </c>
      <c r="AN15">
        <v>13</v>
      </c>
      <c r="AO15" t="str">
        <v>DESARROLLO</v>
      </c>
      <c r="AP15" t="str">
        <v>CLIENTE-0010</v>
      </c>
      <c r="AQ15">
        <v>8500</v>
      </c>
      <c r="AR15" t="str">
        <v>SI</v>
      </c>
    </row>
    <row r="16" spans="1:44">
      <c r="A16" s="2">
        <v>15</v>
      </c>
      <c r="B16" t="s">
        <v>16</v>
      </c>
      <c r="C16" t="s">
        <v>26</v>
      </c>
      <c r="D16" t="s">
        <v>9</v>
      </c>
      <c r="E16" s="3">
        <v>300</v>
      </c>
      <c r="F16" s="4">
        <v>43517</v>
      </c>
      <c r="G16" s="2" t="s">
        <v>28</v>
      </c>
      <c r="N16">
        <v>179</v>
      </c>
      <c r="O16" t="str">
        <v>EQUIPOS</v>
      </c>
      <c r="P16" t="str">
        <v>CLIENTE-0009</v>
      </c>
      <c r="Q16" t="str">
        <v>ALICANTE</v>
      </c>
      <c r="R16" s="10">
        <v>120</v>
      </c>
      <c r="S16">
        <v>44056</v>
      </c>
      <c r="T16" t="str">
        <v>SI</v>
      </c>
      <c r="V16">
        <v>34</v>
      </c>
      <c r="W16" t="str">
        <v>EQUIPOS</v>
      </c>
      <c r="X16" t="str">
        <v>CLIENTE-0001</v>
      </c>
      <c r="Y16" t="str">
        <v>MADRID</v>
      </c>
      <c r="Z16">
        <v>5000</v>
      </c>
      <c r="AA16">
        <v>44466</v>
      </c>
      <c r="AB16" t="str">
        <v>SI</v>
      </c>
      <c r="AE16">
        <v>330</v>
      </c>
      <c r="AF16" t="str">
        <v>DESARROLLO</v>
      </c>
      <c r="AG16" t="str">
        <v>CLIENTE-0001</v>
      </c>
      <c r="AH16" t="str">
        <v>MADRID</v>
      </c>
      <c r="AI16">
        <v>5000</v>
      </c>
      <c r="AJ16">
        <v>44459</v>
      </c>
      <c r="AK16" t="str">
        <v>SI</v>
      </c>
      <c r="AN16">
        <v>14</v>
      </c>
      <c r="AO16" t="str">
        <v>PROYECTO</v>
      </c>
      <c r="AP16" t="str">
        <v>CLIENTE-0001</v>
      </c>
      <c r="AQ16">
        <v>1200</v>
      </c>
      <c r="AR16" t="str">
        <v>SI</v>
      </c>
    </row>
    <row r="17" spans="1:44">
      <c r="A17" s="2">
        <v>16</v>
      </c>
      <c r="B17" t="s">
        <v>22</v>
      </c>
      <c r="C17" t="s">
        <v>27</v>
      </c>
      <c r="D17" t="s">
        <v>9</v>
      </c>
      <c r="E17" s="3">
        <v>200</v>
      </c>
      <c r="F17" s="4">
        <v>43873</v>
      </c>
      <c r="G17" s="2" t="s">
        <v>28</v>
      </c>
      <c r="N17">
        <v>183</v>
      </c>
      <c r="O17" t="str">
        <v>DESARROLLO</v>
      </c>
      <c r="P17" t="str">
        <v>CLIENTE-0005</v>
      </c>
      <c r="Q17" t="str">
        <v>BARCELONA</v>
      </c>
      <c r="R17" s="10">
        <v>120</v>
      </c>
      <c r="S17">
        <v>44139</v>
      </c>
      <c r="T17" t="str">
        <v>NO</v>
      </c>
      <c r="V17">
        <v>35</v>
      </c>
      <c r="W17" t="str">
        <v>CONSULTORIA</v>
      </c>
      <c r="X17" t="str">
        <v>CLIENTE-0010</v>
      </c>
      <c r="Y17" t="str">
        <v>MADRID</v>
      </c>
      <c r="Z17">
        <v>6500</v>
      </c>
      <c r="AA17">
        <v>43765</v>
      </c>
      <c r="AB17" t="str">
        <v>SI</v>
      </c>
      <c r="AE17">
        <v>395</v>
      </c>
      <c r="AF17" t="str">
        <v>DESARROLLO</v>
      </c>
      <c r="AG17" t="str">
        <v>CLIENTE-0007</v>
      </c>
      <c r="AH17" t="str">
        <v>BARCELONA</v>
      </c>
      <c r="AI17">
        <v>5000</v>
      </c>
      <c r="AJ17">
        <v>43903</v>
      </c>
      <c r="AK17" t="str">
        <v>SI</v>
      </c>
      <c r="AN17">
        <v>15</v>
      </c>
      <c r="AO17" t="str">
        <v>EQUIPOS</v>
      </c>
      <c r="AP17" t="str">
        <v>CLIENTE-0010</v>
      </c>
      <c r="AQ17">
        <v>300</v>
      </c>
      <c r="AR17" t="str">
        <v>NO</v>
      </c>
    </row>
    <row r="18" spans="1:44">
      <c r="A18" s="2">
        <v>17</v>
      </c>
      <c r="B18" t="s">
        <v>10</v>
      </c>
      <c r="C18" t="s">
        <v>29</v>
      </c>
      <c r="D18" t="s">
        <v>24</v>
      </c>
      <c r="E18" s="3">
        <v>150</v>
      </c>
      <c r="F18" s="4">
        <v>43614</v>
      </c>
      <c r="G18" s="2" t="s">
        <v>28</v>
      </c>
      <c r="N18">
        <v>190</v>
      </c>
      <c r="O18" t="str">
        <v>PROYECTO</v>
      </c>
      <c r="P18" t="str">
        <v>CLIENTE-0010</v>
      </c>
      <c r="Q18" t="str">
        <v>MADRID</v>
      </c>
      <c r="R18" s="10">
        <v>120</v>
      </c>
      <c r="S18">
        <v>43715</v>
      </c>
      <c r="T18" t="str">
        <v>SI</v>
      </c>
      <c r="V18">
        <v>36</v>
      </c>
      <c r="W18" t="str">
        <v>DESARROLLO</v>
      </c>
      <c r="X18" t="str">
        <v>CLIENTE-0001</v>
      </c>
      <c r="Y18" t="str">
        <v>MADRID</v>
      </c>
      <c r="Z18">
        <v>8500</v>
      </c>
      <c r="AA18">
        <v>43883</v>
      </c>
      <c r="AB18" t="str">
        <v>SI</v>
      </c>
      <c r="AE18">
        <v>533</v>
      </c>
      <c r="AF18" t="str">
        <v>DESARROLLO</v>
      </c>
      <c r="AG18" t="str">
        <v>CLIENTE-0010</v>
      </c>
      <c r="AH18" t="str">
        <v>MADRID</v>
      </c>
      <c r="AI18">
        <v>5000</v>
      </c>
      <c r="AJ18">
        <v>43952</v>
      </c>
      <c r="AK18" t="str">
        <v>NO</v>
      </c>
      <c r="AN18">
        <v>16</v>
      </c>
      <c r="AO18" t="str">
        <v>CONSULTORIA</v>
      </c>
      <c r="AP18" t="str">
        <v>CLIENTE-0001</v>
      </c>
      <c r="AQ18">
        <v>200</v>
      </c>
      <c r="AR18" t="str">
        <v>NO</v>
      </c>
    </row>
    <row r="19" spans="1:44">
      <c r="A19" s="2">
        <v>18</v>
      </c>
      <c r="B19" t="s">
        <v>13</v>
      </c>
      <c r="C19" t="s">
        <v>21</v>
      </c>
      <c r="D19" t="s">
        <v>9</v>
      </c>
      <c r="E19" s="3">
        <v>120</v>
      </c>
      <c r="F19" s="4">
        <v>43648</v>
      </c>
      <c r="G19" s="2" t="s">
        <v>28</v>
      </c>
      <c r="N19">
        <v>194</v>
      </c>
      <c r="O19" t="str">
        <v>PROYECTO</v>
      </c>
      <c r="P19" t="str">
        <v>CLIENTE-0004</v>
      </c>
      <c r="Q19" t="str">
        <v>MADRID</v>
      </c>
      <c r="R19" s="10">
        <v>120</v>
      </c>
      <c r="S19">
        <v>44478</v>
      </c>
      <c r="T19" t="str">
        <v>SI</v>
      </c>
      <c r="V19">
        <v>38</v>
      </c>
      <c r="W19" t="str">
        <v>EQUIPOS</v>
      </c>
      <c r="X19" t="str">
        <v>CLIENTE-0003</v>
      </c>
      <c r="Y19" t="str">
        <v>MADRID</v>
      </c>
      <c r="Z19">
        <v>300</v>
      </c>
      <c r="AA19">
        <v>44363</v>
      </c>
      <c r="AB19" t="str">
        <v>SI</v>
      </c>
      <c r="AE19">
        <v>567</v>
      </c>
      <c r="AF19" t="str">
        <v>DESARROLLO</v>
      </c>
      <c r="AG19" t="str">
        <v>CLIENTE-0005</v>
      </c>
      <c r="AH19" t="str">
        <v>BARCELONA</v>
      </c>
      <c r="AI19">
        <v>5000</v>
      </c>
      <c r="AJ19">
        <v>43767</v>
      </c>
      <c r="AK19" t="str">
        <v>SI</v>
      </c>
      <c r="AN19">
        <v>17</v>
      </c>
      <c r="AO19" t="str">
        <v>DESARROLLO</v>
      </c>
      <c r="AP19" t="str">
        <v>CLIENTE-0002</v>
      </c>
      <c r="AQ19">
        <v>150</v>
      </c>
      <c r="AR19" t="str">
        <v>NO</v>
      </c>
    </row>
    <row r="20" spans="1:44">
      <c r="A20" s="2">
        <v>19</v>
      </c>
      <c r="B20" t="s">
        <v>16</v>
      </c>
      <c r="C20" t="s">
        <v>11</v>
      </c>
      <c r="D20" t="s">
        <v>9</v>
      </c>
      <c r="E20" s="3">
        <v>300</v>
      </c>
      <c r="F20" s="4">
        <v>43800</v>
      </c>
      <c r="G20" s="2" t="s">
        <v>28</v>
      </c>
      <c r="N20">
        <v>225</v>
      </c>
      <c r="O20" t="str">
        <v>PROYECTO</v>
      </c>
      <c r="P20" t="str">
        <v>CLIENTE-0003</v>
      </c>
      <c r="Q20" t="str">
        <v>MADRID</v>
      </c>
      <c r="R20" s="10">
        <v>120</v>
      </c>
      <c r="S20">
        <v>44422</v>
      </c>
      <c r="T20" t="str">
        <v>NO</v>
      </c>
      <c r="V20">
        <v>39</v>
      </c>
      <c r="W20" t="str">
        <v>PROGRAMA</v>
      </c>
      <c r="X20" t="str">
        <v>CLIENTE-0004</v>
      </c>
      <c r="Y20" t="str">
        <v>MADRID</v>
      </c>
      <c r="Z20">
        <v>200</v>
      </c>
      <c r="AA20">
        <v>44013</v>
      </c>
      <c r="AB20" t="str">
        <v>SI</v>
      </c>
      <c r="AE20">
        <v>579</v>
      </c>
      <c r="AF20" t="str">
        <v>DESARROLLO</v>
      </c>
      <c r="AG20" t="str">
        <v>CLIENTE-0004</v>
      </c>
      <c r="AH20" t="str">
        <v>MADRID</v>
      </c>
      <c r="AI20">
        <v>5000</v>
      </c>
      <c r="AJ20">
        <v>44254</v>
      </c>
      <c r="AK20" t="str">
        <v>NO</v>
      </c>
      <c r="AN20">
        <v>18</v>
      </c>
      <c r="AO20" t="str">
        <v>PROYECTO</v>
      </c>
      <c r="AP20" t="str">
        <v>CLIENTE-0003</v>
      </c>
      <c r="AQ20">
        <v>120</v>
      </c>
      <c r="AR20" t="str">
        <v>NO</v>
      </c>
    </row>
    <row r="21" spans="1:44">
      <c r="A21" s="2">
        <v>20</v>
      </c>
      <c r="B21" t="s">
        <v>18</v>
      </c>
      <c r="C21" t="s">
        <v>14</v>
      </c>
      <c r="D21" t="s">
        <v>15</v>
      </c>
      <c r="E21" s="3">
        <v>350</v>
      </c>
      <c r="F21" s="4">
        <v>44450</v>
      </c>
      <c r="G21" s="2" t="s">
        <v>28</v>
      </c>
      <c r="N21">
        <v>229</v>
      </c>
      <c r="O21" t="str">
        <v>CONSULTORIA</v>
      </c>
      <c r="P21" t="str">
        <v>CLIENTE-0006</v>
      </c>
      <c r="Q21" t="str">
        <v>BARCELONA</v>
      </c>
      <c r="R21" s="10">
        <v>120</v>
      </c>
      <c r="S21">
        <v>44410</v>
      </c>
      <c r="T21" t="str">
        <v>SI</v>
      </c>
      <c r="V21">
        <v>45</v>
      </c>
      <c r="W21" t="str">
        <v>PROGRAMA</v>
      </c>
      <c r="X21" t="str">
        <v>CLIENTE-0010</v>
      </c>
      <c r="Y21" t="str">
        <v>MADRID</v>
      </c>
      <c r="Z21">
        <v>120</v>
      </c>
      <c r="AA21">
        <v>44382</v>
      </c>
      <c r="AB21" t="str">
        <v>NO</v>
      </c>
      <c r="AE21">
        <v>602</v>
      </c>
      <c r="AF21" t="str">
        <v>DESARROLLO</v>
      </c>
      <c r="AG21" t="str">
        <v>CLIENTE-0007</v>
      </c>
      <c r="AH21" t="str">
        <v>BARCELONA</v>
      </c>
      <c r="AI21">
        <v>5000</v>
      </c>
      <c r="AJ21">
        <v>43542</v>
      </c>
      <c r="AK21" t="str">
        <v>SI</v>
      </c>
      <c r="AN21">
        <v>19</v>
      </c>
      <c r="AO21" t="str">
        <v>EQUIPOS</v>
      </c>
      <c r="AP21" t="str">
        <v>CLIENTE-0004</v>
      </c>
      <c r="AQ21">
        <v>300</v>
      </c>
      <c r="AR21" t="str">
        <v>NO</v>
      </c>
    </row>
    <row r="22" spans="1:44">
      <c r="A22" s="2">
        <v>21</v>
      </c>
      <c r="B22" t="s">
        <v>20</v>
      </c>
      <c r="C22" t="s">
        <v>17</v>
      </c>
      <c r="D22" t="s">
        <v>15</v>
      </c>
      <c r="E22" s="3">
        <v>300</v>
      </c>
      <c r="F22" s="4">
        <v>43740</v>
      </c>
      <c r="G22" s="2" t="s">
        <v>28</v>
      </c>
      <c r="N22">
        <v>248</v>
      </c>
      <c r="O22" t="str">
        <v>EQUIPOS</v>
      </c>
      <c r="P22" t="str">
        <v>CLIENTE-0005</v>
      </c>
      <c r="Q22" t="str">
        <v>BARCELONA</v>
      </c>
      <c r="R22" s="10">
        <v>120</v>
      </c>
      <c r="S22">
        <v>44152</v>
      </c>
      <c r="T22" t="str">
        <v>SI</v>
      </c>
      <c r="V22">
        <v>46</v>
      </c>
      <c r="W22" t="str">
        <v>FORMACION</v>
      </c>
      <c r="X22" t="str">
        <v>CLIENTE-0004</v>
      </c>
      <c r="Y22" t="str">
        <v>MADRID</v>
      </c>
      <c r="Z22">
        <v>150</v>
      </c>
      <c r="AA22">
        <v>44528</v>
      </c>
      <c r="AB22" t="str">
        <v>NO</v>
      </c>
      <c r="AE22">
        <v>753</v>
      </c>
      <c r="AF22" t="str">
        <v>DESARROLLO</v>
      </c>
      <c r="AG22" t="str">
        <v>CLIENTE-0010</v>
      </c>
      <c r="AH22" t="str">
        <v>MADRID</v>
      </c>
      <c r="AI22">
        <v>5000</v>
      </c>
      <c r="AJ22">
        <v>43611</v>
      </c>
      <c r="AK22" t="str">
        <v>SI</v>
      </c>
      <c r="AN22">
        <v>20</v>
      </c>
      <c r="AO22" t="str">
        <v>PROGRAMA</v>
      </c>
      <c r="AP22" t="str">
        <v>CLIENTE-0005</v>
      </c>
      <c r="AQ22">
        <v>350</v>
      </c>
      <c r="AR22" t="str">
        <v>NO</v>
      </c>
    </row>
    <row r="23" spans="1:44">
      <c r="A23" s="2">
        <v>22</v>
      </c>
      <c r="B23" t="s">
        <v>22</v>
      </c>
      <c r="C23" t="s">
        <v>19</v>
      </c>
      <c r="D23" t="s">
        <v>15</v>
      </c>
      <c r="E23" s="3">
        <v>120</v>
      </c>
      <c r="F23" s="4">
        <v>43560</v>
      </c>
      <c r="G23" s="2" t="s">
        <v>12</v>
      </c>
      <c r="N23">
        <v>252</v>
      </c>
      <c r="O23" t="str">
        <v>DESARROLLO</v>
      </c>
      <c r="P23" t="str">
        <v>CLIENTE-0009</v>
      </c>
      <c r="Q23" t="str">
        <v>ALICANTE</v>
      </c>
      <c r="R23" s="10">
        <v>120</v>
      </c>
      <c r="S23">
        <v>44143</v>
      </c>
      <c r="T23" t="str">
        <v>NO</v>
      </c>
      <c r="V23">
        <v>50</v>
      </c>
      <c r="W23" t="str">
        <v>EQUIPOS</v>
      </c>
      <c r="X23" t="str">
        <v>CLIENTE-0003</v>
      </c>
      <c r="Y23" t="str">
        <v>MADRID</v>
      </c>
      <c r="Z23">
        <v>200</v>
      </c>
      <c r="AA23">
        <v>43934</v>
      </c>
      <c r="AB23" t="str">
        <v>SI</v>
      </c>
      <c r="AE23">
        <v>130</v>
      </c>
      <c r="AF23" t="str">
        <v>DESARROLLO</v>
      </c>
      <c r="AG23" t="str">
        <v>CLIENTE-0005</v>
      </c>
      <c r="AH23" t="str">
        <v>BARCELONA</v>
      </c>
      <c r="AI23">
        <v>4500</v>
      </c>
      <c r="AJ23">
        <v>44173</v>
      </c>
      <c r="AK23" t="str">
        <v>SI</v>
      </c>
      <c r="AN23">
        <v>21</v>
      </c>
      <c r="AO23" t="str">
        <v>FORMACION</v>
      </c>
      <c r="AP23" t="str">
        <v>CLIENTE-0006</v>
      </c>
      <c r="AQ23">
        <v>300</v>
      </c>
      <c r="AR23" t="str">
        <v>NO</v>
      </c>
    </row>
    <row r="24" spans="1:44">
      <c r="A24" s="2">
        <v>23</v>
      </c>
      <c r="B24" t="s">
        <v>10</v>
      </c>
      <c r="C24" t="s">
        <v>23</v>
      </c>
      <c r="D24" t="s">
        <v>24</v>
      </c>
      <c r="E24" s="3">
        <v>150</v>
      </c>
      <c r="F24" s="4">
        <v>44502</v>
      </c>
      <c r="G24" s="2" t="s">
        <v>12</v>
      </c>
      <c r="N24">
        <v>259</v>
      </c>
      <c r="O24" t="str">
        <v>PROYECTO</v>
      </c>
      <c r="P24" t="str">
        <v>CLIENTE-0004</v>
      </c>
      <c r="Q24" t="str">
        <v>MADRID</v>
      </c>
      <c r="R24" s="10">
        <v>120</v>
      </c>
      <c r="S24">
        <v>44180</v>
      </c>
      <c r="T24" t="str">
        <v>SI</v>
      </c>
      <c r="V24">
        <v>51</v>
      </c>
      <c r="W24" t="str">
        <v>PROGRAMA</v>
      </c>
      <c r="X24" t="str">
        <v>CLIENTE-0004</v>
      </c>
      <c r="Y24" t="str">
        <v>MADRID</v>
      </c>
      <c r="Z24">
        <v>150</v>
      </c>
      <c r="AA24">
        <v>44007</v>
      </c>
      <c r="AB24" t="str">
        <v>SI</v>
      </c>
      <c r="AE24">
        <v>142</v>
      </c>
      <c r="AF24" t="str">
        <v>DESARROLLO</v>
      </c>
      <c r="AG24" t="str">
        <v>CLIENTE-0005</v>
      </c>
      <c r="AH24" t="str">
        <v>BARCELONA</v>
      </c>
      <c r="AI24">
        <v>4500</v>
      </c>
      <c r="AJ24">
        <v>44254</v>
      </c>
      <c r="AK24" t="str">
        <v>NO</v>
      </c>
      <c r="AN24">
        <v>22</v>
      </c>
      <c r="AO24" t="str">
        <v>CONSULTORIA</v>
      </c>
      <c r="AP24" t="str">
        <v>CLIENTE-0007</v>
      </c>
      <c r="AQ24">
        <v>120</v>
      </c>
      <c r="AR24" t="str">
        <v>SI</v>
      </c>
    </row>
    <row r="25" spans="1:44">
      <c r="A25" s="2">
        <v>24</v>
      </c>
      <c r="B25" t="s">
        <v>13</v>
      </c>
      <c r="C25" t="s">
        <v>25</v>
      </c>
      <c r="D25" t="s">
        <v>24</v>
      </c>
      <c r="E25" s="3">
        <v>1200</v>
      </c>
      <c r="F25" s="4">
        <v>44149</v>
      </c>
      <c r="G25" s="2" t="s">
        <v>12</v>
      </c>
      <c r="N25">
        <v>263</v>
      </c>
      <c r="O25" t="str">
        <v>CONSULTORIA</v>
      </c>
      <c r="P25" t="str">
        <v>CLIENTE-0008</v>
      </c>
      <c r="Q25" t="str">
        <v>ALICANTE</v>
      </c>
      <c r="R25" s="10">
        <v>120</v>
      </c>
      <c r="S25">
        <v>43886</v>
      </c>
      <c r="T25" t="str">
        <v>SI</v>
      </c>
      <c r="V25">
        <v>58</v>
      </c>
      <c r="W25" t="str">
        <v>FORMACION</v>
      </c>
      <c r="X25" t="str">
        <v>CLIENTE-0010</v>
      </c>
      <c r="Y25" t="str">
        <v>MADRID</v>
      </c>
      <c r="Z25">
        <v>1200</v>
      </c>
      <c r="AA25">
        <v>43660</v>
      </c>
      <c r="AB25" t="str">
        <v>NO</v>
      </c>
      <c r="AE25">
        <v>199</v>
      </c>
      <c r="AF25" t="str">
        <v>DESARROLLO</v>
      </c>
      <c r="AG25" t="str">
        <v>CLIENTE-0009</v>
      </c>
      <c r="AH25" t="str">
        <v>ALICANTE</v>
      </c>
      <c r="AI25">
        <v>4500</v>
      </c>
      <c r="AJ25">
        <v>43504</v>
      </c>
      <c r="AK25" t="str">
        <v>SI</v>
      </c>
      <c r="AN25">
        <v>23</v>
      </c>
      <c r="AO25" t="str">
        <v>DESARROLLO</v>
      </c>
      <c r="AP25" t="str">
        <v>CLIENTE-0008</v>
      </c>
      <c r="AQ25">
        <v>150</v>
      </c>
      <c r="AR25" t="str">
        <v>SI</v>
      </c>
    </row>
    <row r="26" spans="1:44">
      <c r="A26" s="2">
        <v>25</v>
      </c>
      <c r="B26" t="s">
        <v>16</v>
      </c>
      <c r="C26" t="s">
        <v>26</v>
      </c>
      <c r="D26" t="s">
        <v>9</v>
      </c>
      <c r="E26" s="3">
        <v>800</v>
      </c>
      <c r="F26" s="4">
        <v>43552</v>
      </c>
      <c r="G26" s="2" t="s">
        <v>12</v>
      </c>
      <c r="N26">
        <v>291</v>
      </c>
      <c r="O26" t="str">
        <v>PROYECTO</v>
      </c>
      <c r="P26" t="str">
        <v>CLIENTE-0002</v>
      </c>
      <c r="Q26" t="str">
        <v>ALICANTE</v>
      </c>
      <c r="R26" s="10">
        <v>120</v>
      </c>
      <c r="S26">
        <v>43650</v>
      </c>
      <c r="T26" t="str">
        <v>SI</v>
      </c>
      <c r="V26">
        <v>59</v>
      </c>
      <c r="W26" t="str">
        <v>CONSULTORIA</v>
      </c>
      <c r="X26" t="str">
        <v>CLIENTE-0001</v>
      </c>
      <c r="Y26" t="str">
        <v>MADRID</v>
      </c>
      <c r="Z26">
        <v>800</v>
      </c>
      <c r="AA26">
        <v>44056</v>
      </c>
      <c r="AB26" t="str">
        <v>NO</v>
      </c>
      <c r="AE26">
        <v>277</v>
      </c>
      <c r="AF26" t="str">
        <v>DESARROLLO</v>
      </c>
      <c r="AG26" t="str">
        <v>CLIENTE-0008</v>
      </c>
      <c r="AH26" t="str">
        <v>ALICANTE</v>
      </c>
      <c r="AI26">
        <v>4500</v>
      </c>
      <c r="AJ26">
        <v>43824</v>
      </c>
      <c r="AK26" t="str">
        <v>NO</v>
      </c>
      <c r="AN26">
        <v>24</v>
      </c>
      <c r="AO26" t="str">
        <v>PROYECTO</v>
      </c>
      <c r="AP26" t="str">
        <v>CLIENTE-0009</v>
      </c>
      <c r="AQ26">
        <v>1200</v>
      </c>
      <c r="AR26" t="str">
        <v>SI</v>
      </c>
    </row>
    <row r="27" spans="1:44">
      <c r="A27" s="2">
        <v>26</v>
      </c>
      <c r="B27" t="s">
        <v>18</v>
      </c>
      <c r="C27" t="s">
        <v>11</v>
      </c>
      <c r="D27" t="s">
        <v>9</v>
      </c>
      <c r="E27" s="3">
        <v>750</v>
      </c>
      <c r="F27" s="4">
        <v>43931</v>
      </c>
      <c r="G27" s="2" t="s">
        <v>12</v>
      </c>
      <c r="N27">
        <v>295</v>
      </c>
      <c r="O27" t="str">
        <v>CONSULTORIA</v>
      </c>
      <c r="P27" t="str">
        <v>CLIENTE-0006</v>
      </c>
      <c r="Q27" t="str">
        <v>BARCELONA</v>
      </c>
      <c r="R27" s="10">
        <v>120</v>
      </c>
      <c r="S27">
        <v>44135</v>
      </c>
      <c r="T27" t="str">
        <v>SI</v>
      </c>
      <c r="V27">
        <v>60</v>
      </c>
      <c r="W27" t="str">
        <v>DESARROLLO</v>
      </c>
      <c r="X27" t="str">
        <v>CLIENTE-0010</v>
      </c>
      <c r="Y27" t="str">
        <v>MADRID</v>
      </c>
      <c r="Z27">
        <v>750</v>
      </c>
      <c r="AA27">
        <v>44096</v>
      </c>
      <c r="AB27" t="str">
        <v>NO</v>
      </c>
      <c r="AE27">
        <v>346</v>
      </c>
      <c r="AF27" t="str">
        <v>DESARROLLO</v>
      </c>
      <c r="AG27" t="str">
        <v>CLIENTE-0005</v>
      </c>
      <c r="AH27" t="str">
        <v>BARCELONA</v>
      </c>
      <c r="AI27">
        <v>4500</v>
      </c>
      <c r="AJ27">
        <v>44525</v>
      </c>
      <c r="AK27" t="str">
        <v>NO</v>
      </c>
      <c r="AN27">
        <v>25</v>
      </c>
      <c r="AO27" t="str">
        <v>EQUIPOS</v>
      </c>
      <c r="AP27" t="str">
        <v>CLIENTE-0010</v>
      </c>
      <c r="AQ27">
        <v>800</v>
      </c>
      <c r="AR27" t="str">
        <v>SI</v>
      </c>
    </row>
    <row r="28" spans="1:44">
      <c r="A28" s="2">
        <v>27</v>
      </c>
      <c r="B28" t="s">
        <v>13</v>
      </c>
      <c r="C28" t="s">
        <v>14</v>
      </c>
      <c r="D28" t="s">
        <v>15</v>
      </c>
      <c r="E28" s="3">
        <v>4500</v>
      </c>
      <c r="F28" s="4">
        <v>44350</v>
      </c>
      <c r="G28" s="2" t="s">
        <v>12</v>
      </c>
      <c r="N28">
        <v>302</v>
      </c>
      <c r="O28" t="str">
        <v>EQUIPOS</v>
      </c>
      <c r="P28" t="str">
        <v>CLIENTE-0005</v>
      </c>
      <c r="Q28" t="str">
        <v>BARCELONA</v>
      </c>
      <c r="R28" s="10">
        <v>120</v>
      </c>
      <c r="S28">
        <v>43690</v>
      </c>
      <c r="T28" t="str">
        <v>SI</v>
      </c>
      <c r="V28">
        <v>61</v>
      </c>
      <c r="W28" t="str">
        <v>PROYECTO</v>
      </c>
      <c r="X28" t="str">
        <v>CLIENTE-0001</v>
      </c>
      <c r="Y28" t="str">
        <v>MADRID</v>
      </c>
      <c r="Z28">
        <v>4500</v>
      </c>
      <c r="AA28">
        <v>44327</v>
      </c>
      <c r="AB28" t="str">
        <v>NO</v>
      </c>
      <c r="AE28">
        <v>639</v>
      </c>
      <c r="AF28" t="str">
        <v>DESARROLLO</v>
      </c>
      <c r="AG28" t="str">
        <v>CLIENTE-0001</v>
      </c>
      <c r="AH28" t="str">
        <v>MADRID</v>
      </c>
      <c r="AI28">
        <v>4500</v>
      </c>
      <c r="AJ28">
        <v>43510</v>
      </c>
      <c r="AK28" t="str">
        <v>SI</v>
      </c>
      <c r="AN28">
        <v>26</v>
      </c>
      <c r="AO28" t="str">
        <v>PROGRAMA</v>
      </c>
      <c r="AP28" t="str">
        <v>CLIENTE-0004</v>
      </c>
      <c r="AQ28">
        <v>750</v>
      </c>
      <c r="AR28" t="str">
        <v>SI</v>
      </c>
    </row>
    <row r="29" spans="1:44">
      <c r="A29" s="2">
        <v>28</v>
      </c>
      <c r="B29" t="s">
        <v>16</v>
      </c>
      <c r="C29" t="s">
        <v>14</v>
      </c>
      <c r="D29" t="s">
        <v>15</v>
      </c>
      <c r="E29" s="3">
        <v>500</v>
      </c>
      <c r="F29" s="4">
        <v>44322</v>
      </c>
      <c r="G29" s="2" t="s">
        <v>12</v>
      </c>
      <c r="N29">
        <v>306</v>
      </c>
      <c r="O29" t="str">
        <v>DESARROLLO</v>
      </c>
      <c r="P29" t="str">
        <v>CLIENTE-0009</v>
      </c>
      <c r="Q29" t="str">
        <v>ALICANTE</v>
      </c>
      <c r="R29" s="10">
        <v>120</v>
      </c>
      <c r="S29">
        <v>43639</v>
      </c>
      <c r="T29" t="str">
        <v>NO</v>
      </c>
      <c r="V29">
        <v>63</v>
      </c>
      <c r="W29" t="str">
        <v>PROGRAMA</v>
      </c>
      <c r="X29" t="str">
        <v>CLIENTE-0003</v>
      </c>
      <c r="Y29" t="str">
        <v>MADRID</v>
      </c>
      <c r="Z29">
        <v>750</v>
      </c>
      <c r="AA29">
        <v>43950</v>
      </c>
      <c r="AB29" t="str">
        <v>SI</v>
      </c>
      <c r="AE29">
        <v>136</v>
      </c>
      <c r="AF29" t="str">
        <v>DESARROLLO</v>
      </c>
      <c r="AG29" t="str">
        <v>CLIENTE-0004</v>
      </c>
      <c r="AH29" t="str">
        <v>MADRID</v>
      </c>
      <c r="AI29">
        <v>1500</v>
      </c>
      <c r="AJ29">
        <v>44356</v>
      </c>
      <c r="AK29" t="str">
        <v>SI</v>
      </c>
      <c r="AN29">
        <v>27</v>
      </c>
      <c r="AO29" t="str">
        <v>PROYECTO</v>
      </c>
      <c r="AP29" t="str">
        <v>CLIENTE-0005</v>
      </c>
      <c r="AQ29">
        <v>4500</v>
      </c>
      <c r="AR29" t="str">
        <v>SI</v>
      </c>
    </row>
    <row r="30" spans="1:44">
      <c r="A30" s="2">
        <v>29</v>
      </c>
      <c r="B30" t="s">
        <v>18</v>
      </c>
      <c r="C30" t="s">
        <v>17</v>
      </c>
      <c r="D30" t="s">
        <v>15</v>
      </c>
      <c r="E30" s="3">
        <v>750</v>
      </c>
      <c r="F30" s="4">
        <v>43912</v>
      </c>
      <c r="G30" s="2" t="s">
        <v>12</v>
      </c>
      <c r="N30">
        <v>337</v>
      </c>
      <c r="O30" t="str">
        <v>PROGRAMA</v>
      </c>
      <c r="P30" t="str">
        <v>CLIENTE-0008</v>
      </c>
      <c r="Q30" t="str">
        <v>ALICANTE</v>
      </c>
      <c r="R30" s="10">
        <v>120</v>
      </c>
      <c r="S30">
        <v>43586</v>
      </c>
      <c r="T30" t="str">
        <v>SI</v>
      </c>
      <c r="V30">
        <v>64</v>
      </c>
      <c r="W30" t="str">
        <v>FORMACION</v>
      </c>
      <c r="X30" t="str">
        <v>CLIENTE-0004</v>
      </c>
      <c r="Y30" t="str">
        <v>MADRID</v>
      </c>
      <c r="Z30">
        <v>950</v>
      </c>
      <c r="AA30">
        <v>43634</v>
      </c>
      <c r="AB30" t="str">
        <v>SI</v>
      </c>
      <c r="AE30">
        <v>148</v>
      </c>
      <c r="AF30" t="str">
        <v>DESARROLLO</v>
      </c>
      <c r="AG30" t="str">
        <v>CLIENTE-0010</v>
      </c>
      <c r="AH30" t="str">
        <v>MADRID</v>
      </c>
      <c r="AI30">
        <v>1500</v>
      </c>
      <c r="AJ30">
        <v>44233</v>
      </c>
      <c r="AK30" t="str">
        <v>SI</v>
      </c>
      <c r="AN30">
        <v>28</v>
      </c>
      <c r="AO30" t="str">
        <v>EQUIPOS</v>
      </c>
      <c r="AP30" t="str">
        <v>CLIENTE-0005</v>
      </c>
      <c r="AQ30">
        <v>500</v>
      </c>
      <c r="AR30" t="str">
        <v>SI</v>
      </c>
    </row>
    <row r="31" spans="1:44">
      <c r="A31" s="2">
        <v>30</v>
      </c>
      <c r="B31" t="s">
        <v>20</v>
      </c>
      <c r="C31" t="s">
        <v>19</v>
      </c>
      <c r="D31" t="s">
        <v>15</v>
      </c>
      <c r="E31" s="3">
        <v>950</v>
      </c>
      <c r="F31" s="4">
        <v>44381</v>
      </c>
      <c r="G31" s="2" t="s">
        <v>12</v>
      </c>
      <c r="N31">
        <v>341</v>
      </c>
      <c r="O31" t="str">
        <v>PROYECTO</v>
      </c>
      <c r="P31" t="str">
        <v>CLIENTE-0005</v>
      </c>
      <c r="Q31" t="str">
        <v>BARCELONA</v>
      </c>
      <c r="R31" s="10">
        <v>120</v>
      </c>
      <c r="S31">
        <v>43836</v>
      </c>
      <c r="T31" t="str">
        <v>SI</v>
      </c>
      <c r="V31">
        <v>70</v>
      </c>
      <c r="W31" t="str">
        <v>DESARROLLO</v>
      </c>
      <c r="X31" t="str">
        <v>CLIENTE-0010</v>
      </c>
      <c r="Y31" t="str">
        <v>MADRID</v>
      </c>
      <c r="Z31">
        <v>1200</v>
      </c>
      <c r="AA31">
        <v>43584</v>
      </c>
      <c r="AB31" t="str">
        <v>SI</v>
      </c>
      <c r="AE31">
        <v>352</v>
      </c>
      <c r="AF31" t="str">
        <v>DESARROLLO</v>
      </c>
      <c r="AG31" t="str">
        <v>CLIENTE-0010</v>
      </c>
      <c r="AH31" t="str">
        <v>MADRID</v>
      </c>
      <c r="AI31">
        <v>1500</v>
      </c>
      <c r="AJ31">
        <v>43523</v>
      </c>
      <c r="AK31" t="str">
        <v>NO</v>
      </c>
      <c r="AN31">
        <v>29</v>
      </c>
      <c r="AO31" t="str">
        <v>PROGRAMA</v>
      </c>
      <c r="AP31" t="str">
        <v>CLIENTE-0006</v>
      </c>
      <c r="AQ31">
        <v>750</v>
      </c>
      <c r="AR31" t="str">
        <v>SI</v>
      </c>
    </row>
    <row r="32" spans="1:44">
      <c r="A32" s="2">
        <v>31</v>
      </c>
      <c r="B32" t="s">
        <v>22</v>
      </c>
      <c r="C32" t="s">
        <v>23</v>
      </c>
      <c r="D32" t="s">
        <v>24</v>
      </c>
      <c r="E32" s="3">
        <v>680</v>
      </c>
      <c r="F32" s="4">
        <v>44328</v>
      </c>
      <c r="G32" s="2" t="s">
        <v>12</v>
      </c>
      <c r="N32">
        <v>360</v>
      </c>
      <c r="O32" t="str">
        <v>CONSULTORIA</v>
      </c>
      <c r="P32" t="str">
        <v>CLIENTE-0006</v>
      </c>
      <c r="Q32" t="str">
        <v>BARCELONA</v>
      </c>
      <c r="R32" s="10">
        <v>120</v>
      </c>
      <c r="S32">
        <v>43867</v>
      </c>
      <c r="T32" t="str">
        <v>SI</v>
      </c>
      <c r="V32">
        <v>71</v>
      </c>
      <c r="W32" t="str">
        <v>PROYECTO</v>
      </c>
      <c r="X32" t="str">
        <v>CLIENTE-0004</v>
      </c>
      <c r="Y32" t="str">
        <v>MADRID</v>
      </c>
      <c r="Z32">
        <v>800</v>
      </c>
      <c r="AA32">
        <v>44280</v>
      </c>
      <c r="AB32" t="str">
        <v>SI</v>
      </c>
      <c r="AE32">
        <v>645</v>
      </c>
      <c r="AF32" t="str">
        <v>DESARROLLO</v>
      </c>
      <c r="AG32" t="str">
        <v>CLIENTE-0005</v>
      </c>
      <c r="AH32" t="str">
        <v>BARCELONA</v>
      </c>
      <c r="AI32">
        <v>1500</v>
      </c>
      <c r="AJ32">
        <v>44402</v>
      </c>
      <c r="AK32" t="str">
        <v>NO</v>
      </c>
      <c r="AN32">
        <v>30</v>
      </c>
      <c r="AO32" t="str">
        <v>FORMACION</v>
      </c>
      <c r="AP32" t="str">
        <v>CLIENTE-0007</v>
      </c>
      <c r="AQ32">
        <v>950</v>
      </c>
      <c r="AR32" t="str">
        <v>SI</v>
      </c>
    </row>
    <row r="33" spans="1:44">
      <c r="A33" s="2">
        <v>32</v>
      </c>
      <c r="B33" t="s">
        <v>10</v>
      </c>
      <c r="C33" t="s">
        <v>25</v>
      </c>
      <c r="D33" t="s">
        <v>24</v>
      </c>
      <c r="E33" s="3">
        <v>950</v>
      </c>
      <c r="F33" s="4">
        <v>43606</v>
      </c>
      <c r="G33" s="2" t="s">
        <v>12</v>
      </c>
      <c r="N33">
        <v>364</v>
      </c>
      <c r="O33" t="str">
        <v>PROGRAMA</v>
      </c>
      <c r="P33" t="str">
        <v>CLIENTE-0010</v>
      </c>
      <c r="Q33" t="str">
        <v>MADRID</v>
      </c>
      <c r="R33" s="10">
        <v>120</v>
      </c>
      <c r="S33">
        <v>44097</v>
      </c>
      <c r="T33" t="str">
        <v>NO</v>
      </c>
      <c r="V33">
        <v>78</v>
      </c>
      <c r="W33" t="str">
        <v>EQUIPOS</v>
      </c>
      <c r="X33" t="str">
        <v>CLIENTE-0010</v>
      </c>
      <c r="Y33" t="str">
        <v>MADRID</v>
      </c>
      <c r="Z33">
        <v>950</v>
      </c>
      <c r="AA33">
        <v>43796</v>
      </c>
      <c r="AB33" t="str">
        <v>SI</v>
      </c>
      <c r="AE33">
        <v>1</v>
      </c>
      <c r="AF33" t="str">
        <v>DESARROLLO</v>
      </c>
      <c r="AG33" t="str">
        <v>CLIENTE-0004</v>
      </c>
      <c r="AH33" t="str">
        <v>MADRID</v>
      </c>
      <c r="AI33">
        <v>1200</v>
      </c>
      <c r="AJ33">
        <v>43677</v>
      </c>
      <c r="AK33" t="str">
        <v>SI</v>
      </c>
      <c r="AN33">
        <v>31</v>
      </c>
      <c r="AO33" t="str">
        <v>CONSULTORIA</v>
      </c>
      <c r="AP33" t="str">
        <v>CLIENTE-0008</v>
      </c>
      <c r="AQ33">
        <v>680</v>
      </c>
      <c r="AR33" t="str">
        <v>SI</v>
      </c>
    </row>
    <row r="34" spans="1:44">
      <c r="A34" s="2">
        <v>33</v>
      </c>
      <c r="B34" t="s">
        <v>13</v>
      </c>
      <c r="C34" t="s">
        <v>26</v>
      </c>
      <c r="D34" t="s">
        <v>9</v>
      </c>
      <c r="E34" s="3">
        <v>1500</v>
      </c>
      <c r="F34" s="4">
        <v>43753</v>
      </c>
      <c r="G34" s="2" t="s">
        <v>12</v>
      </c>
      <c r="N34">
        <v>371</v>
      </c>
      <c r="O34" t="str">
        <v>FORMACION</v>
      </c>
      <c r="P34" t="str">
        <v>CLIENTE-0009</v>
      </c>
      <c r="Q34" t="str">
        <v>ALICANTE</v>
      </c>
      <c r="R34" s="10">
        <v>120</v>
      </c>
      <c r="S34">
        <v>44292</v>
      </c>
      <c r="T34" t="str">
        <v>SI</v>
      </c>
      <c r="V34">
        <v>79</v>
      </c>
      <c r="W34" t="str">
        <v>PROGRAMA</v>
      </c>
      <c r="X34" t="str">
        <v>CLIENTE-0001</v>
      </c>
      <c r="Y34" t="str">
        <v>MADRID</v>
      </c>
      <c r="Z34">
        <v>1500</v>
      </c>
      <c r="AA34">
        <v>43634</v>
      </c>
      <c r="AB34" t="str">
        <v>SI</v>
      </c>
      <c r="AE34">
        <v>48</v>
      </c>
      <c r="AF34" t="str">
        <v>DESARROLLO</v>
      </c>
      <c r="AG34" t="str">
        <v>CLIENTE-0006</v>
      </c>
      <c r="AH34" t="str">
        <v>BARCELONA</v>
      </c>
      <c r="AI34">
        <v>1200</v>
      </c>
      <c r="AJ34">
        <v>44423</v>
      </c>
      <c r="AK34" t="str">
        <v>NO</v>
      </c>
      <c r="AN34">
        <v>32</v>
      </c>
      <c r="AO34" t="str">
        <v>DESARROLLO</v>
      </c>
      <c r="AP34" t="str">
        <v>CLIENTE-0009</v>
      </c>
      <c r="AQ34">
        <v>950</v>
      </c>
      <c r="AR34" t="str">
        <v>SI</v>
      </c>
    </row>
    <row r="35" spans="1:44">
      <c r="A35" s="2">
        <v>34</v>
      </c>
      <c r="B35" t="s">
        <v>16</v>
      </c>
      <c r="C35" t="s">
        <v>27</v>
      </c>
      <c r="D35" t="s">
        <v>9</v>
      </c>
      <c r="E35" s="3">
        <v>5000</v>
      </c>
      <c r="F35" s="4">
        <v>44466</v>
      </c>
      <c r="G35" s="2" t="s">
        <v>12</v>
      </c>
      <c r="N35">
        <v>379</v>
      </c>
      <c r="O35" t="str">
        <v>DESARROLLO</v>
      </c>
      <c r="P35" t="str">
        <v>CLIENTE-0005</v>
      </c>
      <c r="Q35" t="str">
        <v>BARCELONA</v>
      </c>
      <c r="R35" s="10">
        <v>120</v>
      </c>
      <c r="S35">
        <v>44265</v>
      </c>
      <c r="T35" t="str">
        <v>NO</v>
      </c>
      <c r="V35">
        <v>80</v>
      </c>
      <c r="W35" t="str">
        <v>FORMACION</v>
      </c>
      <c r="X35" t="str">
        <v>CLIENTE-0010</v>
      </c>
      <c r="Y35" t="str">
        <v>MADRID</v>
      </c>
      <c r="Z35">
        <v>5000</v>
      </c>
      <c r="AA35">
        <v>44287</v>
      </c>
      <c r="AB35" t="str">
        <v>SI</v>
      </c>
      <c r="AE35">
        <v>70</v>
      </c>
      <c r="AF35" t="str">
        <v>DESARROLLO</v>
      </c>
      <c r="AG35" t="str">
        <v>CLIENTE-0010</v>
      </c>
      <c r="AH35" t="str">
        <v>MADRID</v>
      </c>
      <c r="AI35">
        <v>1200</v>
      </c>
      <c r="AJ35">
        <v>43584</v>
      </c>
      <c r="AK35" t="str">
        <v>SI</v>
      </c>
      <c r="AN35">
        <v>33</v>
      </c>
      <c r="AO35" t="str">
        <v>PROYECTO</v>
      </c>
      <c r="AP35" t="str">
        <v>CLIENTE-0010</v>
      </c>
      <c r="AQ35">
        <v>1500</v>
      </c>
      <c r="AR35" t="str">
        <v>SI</v>
      </c>
    </row>
    <row r="36" spans="1:44">
      <c r="A36" s="2">
        <v>35</v>
      </c>
      <c r="B36" t="s">
        <v>22</v>
      </c>
      <c r="C36" t="s">
        <v>26</v>
      </c>
      <c r="D36" t="s">
        <v>9</v>
      </c>
      <c r="E36" s="3">
        <v>6500</v>
      </c>
      <c r="F36" s="4">
        <v>43765</v>
      </c>
      <c r="G36" s="2" t="s">
        <v>12</v>
      </c>
      <c r="N36">
        <v>383</v>
      </c>
      <c r="O36" t="str">
        <v>FORMACION</v>
      </c>
      <c r="P36" t="str">
        <v>CLIENTE-0009</v>
      </c>
      <c r="Q36" t="str">
        <v>ALICANTE</v>
      </c>
      <c r="R36" s="10">
        <v>120</v>
      </c>
      <c r="S36">
        <v>44429</v>
      </c>
      <c r="T36" t="str">
        <v>NO</v>
      </c>
      <c r="V36">
        <v>81</v>
      </c>
      <c r="W36" t="str">
        <v>CONSULTORIA</v>
      </c>
      <c r="X36" t="str">
        <v>CLIENTE-0001</v>
      </c>
      <c r="Y36" t="str">
        <v>MADRID</v>
      </c>
      <c r="Z36">
        <v>6500</v>
      </c>
      <c r="AA36">
        <v>44485</v>
      </c>
      <c r="AB36" t="str">
        <v>SI</v>
      </c>
      <c r="AE36">
        <v>208</v>
      </c>
      <c r="AF36" t="str">
        <v>DESARROLLO</v>
      </c>
      <c r="AG36" t="str">
        <v>CLIENTE-0010</v>
      </c>
      <c r="AH36" t="str">
        <v>MADRID</v>
      </c>
      <c r="AI36">
        <v>1200</v>
      </c>
      <c r="AJ36">
        <v>43960</v>
      </c>
      <c r="AK36" t="str">
        <v>SI</v>
      </c>
      <c r="AN36">
        <v>34</v>
      </c>
      <c r="AO36" t="str">
        <v>EQUIPOS</v>
      </c>
      <c r="AP36" t="str">
        <v>CLIENTE-0001</v>
      </c>
      <c r="AQ36">
        <v>5000</v>
      </c>
      <c r="AR36" t="str">
        <v>SI</v>
      </c>
    </row>
    <row r="37" spans="1:44">
      <c r="A37" s="2">
        <v>36</v>
      </c>
      <c r="B37" t="s">
        <v>10</v>
      </c>
      <c r="C37" t="s">
        <v>27</v>
      </c>
      <c r="D37" t="s">
        <v>9</v>
      </c>
      <c r="E37" s="3">
        <v>8500</v>
      </c>
      <c r="F37" s="4">
        <v>43883</v>
      </c>
      <c r="G37" s="2" t="s">
        <v>12</v>
      </c>
      <c r="N37">
        <v>402</v>
      </c>
      <c r="O37" t="str">
        <v>PROYECTO</v>
      </c>
      <c r="P37" t="str">
        <v>CLIENTE-0002</v>
      </c>
      <c r="Q37" t="str">
        <v>ALICANTE</v>
      </c>
      <c r="R37" s="10">
        <v>120</v>
      </c>
      <c r="S37">
        <v>43520</v>
      </c>
      <c r="T37" t="str">
        <v>SI</v>
      </c>
      <c r="V37">
        <v>83</v>
      </c>
      <c r="W37" t="str">
        <v>PROYECTO</v>
      </c>
      <c r="X37" t="str">
        <v>CLIENTE-0003</v>
      </c>
      <c r="Y37" t="str">
        <v>MADRID</v>
      </c>
      <c r="Z37">
        <v>1200</v>
      </c>
      <c r="AA37">
        <v>44191</v>
      </c>
      <c r="AB37" t="str">
        <v>SI</v>
      </c>
      <c r="AE37">
        <v>265</v>
      </c>
      <c r="AF37" t="str">
        <v>DESARROLLO</v>
      </c>
      <c r="AG37" t="str">
        <v>CLIENTE-0010</v>
      </c>
      <c r="AH37" t="str">
        <v>MADRID</v>
      </c>
      <c r="AI37">
        <v>1200</v>
      </c>
      <c r="AJ37">
        <v>44483</v>
      </c>
      <c r="AK37" t="str">
        <v>SI</v>
      </c>
      <c r="AN37">
        <v>35</v>
      </c>
      <c r="AO37" t="str">
        <v>CONSULTORIA</v>
      </c>
      <c r="AP37" t="str">
        <v>CLIENTE-0010</v>
      </c>
      <c r="AQ37">
        <v>6500</v>
      </c>
      <c r="AR37" t="str">
        <v>SI</v>
      </c>
    </row>
    <row r="38" spans="1:44">
      <c r="A38" s="2">
        <v>37</v>
      </c>
      <c r="B38" t="s">
        <v>13</v>
      </c>
      <c r="C38" t="s">
        <v>29</v>
      </c>
      <c r="D38" t="s">
        <v>24</v>
      </c>
      <c r="E38" s="3">
        <v>1200</v>
      </c>
      <c r="F38" s="4">
        <v>44489</v>
      </c>
      <c r="G38" s="2" t="s">
        <v>12</v>
      </c>
      <c r="N38">
        <v>406</v>
      </c>
      <c r="O38" t="str">
        <v>CONSULTORIA</v>
      </c>
      <c r="P38" t="str">
        <v>CLIENTE-0006</v>
      </c>
      <c r="Q38" t="str">
        <v>BARCELONA</v>
      </c>
      <c r="R38" s="10">
        <v>120</v>
      </c>
      <c r="S38">
        <v>43868</v>
      </c>
      <c r="T38" t="str">
        <v>SI</v>
      </c>
      <c r="V38">
        <v>84</v>
      </c>
      <c r="W38" t="str">
        <v>EQUIPOS</v>
      </c>
      <c r="X38" t="str">
        <v>CLIENTE-0004</v>
      </c>
      <c r="Y38" t="str">
        <v>MADRID</v>
      </c>
      <c r="Z38">
        <v>300</v>
      </c>
      <c r="AA38">
        <v>43657</v>
      </c>
      <c r="AB38" t="str">
        <v>NO</v>
      </c>
      <c r="AE38">
        <v>287</v>
      </c>
      <c r="AF38" t="str">
        <v>DESARROLLO</v>
      </c>
      <c r="AG38" t="str">
        <v>CLIENTE-0010</v>
      </c>
      <c r="AH38" t="str">
        <v>MADRID</v>
      </c>
      <c r="AI38">
        <v>1200</v>
      </c>
      <c r="AJ38">
        <v>44429</v>
      </c>
      <c r="AK38" t="str">
        <v>SI</v>
      </c>
      <c r="AN38">
        <v>36</v>
      </c>
      <c r="AO38" t="str">
        <v>DESARROLLO</v>
      </c>
      <c r="AP38" t="str">
        <v>CLIENTE-0001</v>
      </c>
      <c r="AQ38">
        <v>8500</v>
      </c>
      <c r="AR38" t="str">
        <v>SI</v>
      </c>
    </row>
    <row r="39" spans="1:44">
      <c r="A39" s="2">
        <v>38</v>
      </c>
      <c r="B39" t="s">
        <v>16</v>
      </c>
      <c r="C39" t="s">
        <v>21</v>
      </c>
      <c r="D39" t="s">
        <v>9</v>
      </c>
      <c r="E39" s="3">
        <v>300</v>
      </c>
      <c r="F39" s="4">
        <v>44363</v>
      </c>
      <c r="G39" s="2" t="s">
        <v>12</v>
      </c>
      <c r="N39">
        <v>413</v>
      </c>
      <c r="O39" t="str">
        <v>DESARROLLO</v>
      </c>
      <c r="P39" t="str">
        <v>CLIENTE-0005</v>
      </c>
      <c r="Q39" t="str">
        <v>BARCELONA</v>
      </c>
      <c r="R39" s="10">
        <v>120</v>
      </c>
      <c r="S39">
        <v>44434</v>
      </c>
      <c r="T39" t="str">
        <v>NO</v>
      </c>
      <c r="V39">
        <v>90</v>
      </c>
      <c r="W39" t="str">
        <v>PROYECTO</v>
      </c>
      <c r="X39" t="str">
        <v>CLIENTE-0010</v>
      </c>
      <c r="Y39" t="str">
        <v>MADRID</v>
      </c>
      <c r="Z39">
        <v>300</v>
      </c>
      <c r="AA39">
        <v>43675</v>
      </c>
      <c r="AB39" t="str">
        <v>NO</v>
      </c>
      <c r="AE39">
        <v>367</v>
      </c>
      <c r="AF39" t="str">
        <v>DESARROLLO</v>
      </c>
      <c r="AG39" t="str">
        <v>CLIENTE-0005</v>
      </c>
      <c r="AH39" t="str">
        <v>BARCELONA</v>
      </c>
      <c r="AI39">
        <v>1200</v>
      </c>
      <c r="AJ39">
        <v>44115</v>
      </c>
      <c r="AK39" t="str">
        <v>SI</v>
      </c>
      <c r="AN39">
        <v>37</v>
      </c>
      <c r="AO39" t="str">
        <v>PROYECTO</v>
      </c>
      <c r="AP39" t="str">
        <v>CLIENTE-0002</v>
      </c>
      <c r="AQ39">
        <v>1200</v>
      </c>
      <c r="AR39" t="str">
        <v>SI</v>
      </c>
    </row>
    <row r="40" spans="1:44">
      <c r="A40" s="2">
        <v>39</v>
      </c>
      <c r="B40" t="s">
        <v>18</v>
      </c>
      <c r="C40" t="s">
        <v>11</v>
      </c>
      <c r="D40" t="s">
        <v>9</v>
      </c>
      <c r="E40" s="3">
        <v>200</v>
      </c>
      <c r="F40" s="4">
        <v>44013</v>
      </c>
      <c r="G40" s="2" t="s">
        <v>12</v>
      </c>
      <c r="N40">
        <v>417</v>
      </c>
      <c r="O40" t="str">
        <v>PROGRAMA</v>
      </c>
      <c r="P40" t="str">
        <v>CLIENTE-0009</v>
      </c>
      <c r="Q40" t="str">
        <v>ALICANTE</v>
      </c>
      <c r="R40" s="10">
        <v>120</v>
      </c>
      <c r="S40">
        <v>43522</v>
      </c>
      <c r="T40" t="str">
        <v>SI</v>
      </c>
      <c r="V40">
        <v>91</v>
      </c>
      <c r="W40" t="str">
        <v>EQUIPOS</v>
      </c>
      <c r="X40" t="str">
        <v>CLIENTE-0004</v>
      </c>
      <c r="Y40" t="str">
        <v>MADRID</v>
      </c>
      <c r="Z40">
        <v>120</v>
      </c>
      <c r="AA40">
        <v>43720</v>
      </c>
      <c r="AB40" t="str">
        <v>SI</v>
      </c>
      <c r="AE40">
        <v>385</v>
      </c>
      <c r="AF40" t="str">
        <v>DESARROLLO</v>
      </c>
      <c r="AG40" t="str">
        <v>CLIENTE-0004</v>
      </c>
      <c r="AH40" t="str">
        <v>MADRID</v>
      </c>
      <c r="AI40">
        <v>1200</v>
      </c>
      <c r="AJ40">
        <v>43625</v>
      </c>
      <c r="AK40" t="str">
        <v>SI</v>
      </c>
      <c r="AN40">
        <v>38</v>
      </c>
      <c r="AO40" t="str">
        <v>EQUIPOS</v>
      </c>
      <c r="AP40" t="str">
        <v>CLIENTE-0003</v>
      </c>
      <c r="AQ40">
        <v>300</v>
      </c>
      <c r="AR40" t="str">
        <v>SI</v>
      </c>
    </row>
    <row r="41" spans="1:44">
      <c r="A41" s="2">
        <v>40</v>
      </c>
      <c r="B41" t="s">
        <v>20</v>
      </c>
      <c r="C41" t="s">
        <v>14</v>
      </c>
      <c r="D41" t="s">
        <v>15</v>
      </c>
      <c r="E41" s="3">
        <v>150</v>
      </c>
      <c r="F41" s="4">
        <v>43783</v>
      </c>
      <c r="G41" s="2" t="s">
        <v>12</v>
      </c>
      <c r="N41">
        <v>448</v>
      </c>
      <c r="O41" t="str">
        <v>CONSULTORIA</v>
      </c>
      <c r="P41" t="str">
        <v>CLIENTE-0003</v>
      </c>
      <c r="Q41" t="str">
        <v>MADRID</v>
      </c>
      <c r="R41" s="10">
        <v>120</v>
      </c>
      <c r="S41">
        <v>44378</v>
      </c>
      <c r="T41" t="str">
        <v>SI</v>
      </c>
      <c r="V41">
        <v>95</v>
      </c>
      <c r="W41" t="str">
        <v>DESARROLLO</v>
      </c>
      <c r="X41" t="str">
        <v>CLIENTE-0003</v>
      </c>
      <c r="Y41" t="str">
        <v>MADRID</v>
      </c>
      <c r="Z41">
        <v>750</v>
      </c>
      <c r="AA41">
        <v>44127</v>
      </c>
      <c r="AB41" t="str">
        <v>SI</v>
      </c>
      <c r="AE41">
        <v>467</v>
      </c>
      <c r="AF41" t="str">
        <v>DESARROLLO</v>
      </c>
      <c r="AG41" t="str">
        <v>CLIENTE-0002</v>
      </c>
      <c r="AH41" t="str">
        <v>ALICANTE</v>
      </c>
      <c r="AI41">
        <v>1200</v>
      </c>
      <c r="AJ41">
        <v>43964</v>
      </c>
      <c r="AK41" t="str">
        <v>SI</v>
      </c>
      <c r="AN41">
        <v>39</v>
      </c>
      <c r="AO41" t="str">
        <v>PROGRAMA</v>
      </c>
      <c r="AP41" t="str">
        <v>CLIENTE-0004</v>
      </c>
      <c r="AQ41">
        <v>200</v>
      </c>
      <c r="AR41" t="str">
        <v>SI</v>
      </c>
    </row>
    <row r="42" spans="1:44">
      <c r="A42" s="2">
        <v>41</v>
      </c>
      <c r="B42" t="s">
        <v>22</v>
      </c>
      <c r="C42" t="s">
        <v>17</v>
      </c>
      <c r="D42" t="s">
        <v>15</v>
      </c>
      <c r="E42" s="3">
        <v>120</v>
      </c>
      <c r="F42" s="4">
        <v>43594</v>
      </c>
      <c r="G42" s="2" t="s">
        <v>12</v>
      </c>
      <c r="N42">
        <v>452</v>
      </c>
      <c r="O42" t="str">
        <v>PROGRAMA</v>
      </c>
      <c r="P42" t="str">
        <v>CLIENTE-0007</v>
      </c>
      <c r="Q42" t="str">
        <v>BARCELONA</v>
      </c>
      <c r="R42" s="10">
        <v>120</v>
      </c>
      <c r="S42">
        <v>43965</v>
      </c>
      <c r="T42" t="str">
        <v>NO</v>
      </c>
      <c r="V42">
        <v>96</v>
      </c>
      <c r="W42" t="str">
        <v>PROYECTO</v>
      </c>
      <c r="X42" t="str">
        <v>CLIENTE-0004</v>
      </c>
      <c r="Y42" t="str">
        <v>MADRID</v>
      </c>
      <c r="Z42">
        <v>4500</v>
      </c>
      <c r="AA42">
        <v>43752</v>
      </c>
      <c r="AB42" t="str">
        <v>SI</v>
      </c>
      <c r="AE42">
        <v>523</v>
      </c>
      <c r="AF42" t="str">
        <v>DESARROLLO</v>
      </c>
      <c r="AG42" t="str">
        <v>CLIENTE-0006</v>
      </c>
      <c r="AH42" t="str">
        <v>BARCELONA</v>
      </c>
      <c r="AI42">
        <v>1200</v>
      </c>
      <c r="AJ42">
        <v>44089</v>
      </c>
      <c r="AK42" t="str">
        <v>SI</v>
      </c>
      <c r="AN42">
        <v>40</v>
      </c>
      <c r="AO42" t="str">
        <v>FORMACION</v>
      </c>
      <c r="AP42" t="str">
        <v>CLIENTE-0005</v>
      </c>
      <c r="AQ42">
        <v>150</v>
      </c>
      <c r="AR42" t="str">
        <v>SI</v>
      </c>
    </row>
    <row r="43" spans="1:44">
      <c r="A43" s="2">
        <v>42</v>
      </c>
      <c r="B43" t="s">
        <v>10</v>
      </c>
      <c r="C43" t="s">
        <v>19</v>
      </c>
      <c r="D43" t="s">
        <v>15</v>
      </c>
      <c r="E43" s="3">
        <v>300</v>
      </c>
      <c r="F43" s="4">
        <v>44373</v>
      </c>
      <c r="G43" s="2" t="s">
        <v>12</v>
      </c>
      <c r="N43">
        <v>471</v>
      </c>
      <c r="O43" t="str">
        <v>FORMACION</v>
      </c>
      <c r="P43" t="str">
        <v>CLIENTE-0006</v>
      </c>
      <c r="Q43" t="str">
        <v>BARCELONA</v>
      </c>
      <c r="R43" s="10">
        <v>120</v>
      </c>
      <c r="S43">
        <v>43572</v>
      </c>
      <c r="T43" t="str">
        <v>SI</v>
      </c>
      <c r="V43">
        <v>103</v>
      </c>
      <c r="W43" t="str">
        <v>EQUIPOS</v>
      </c>
      <c r="X43" t="str">
        <v>CLIENTE-0010</v>
      </c>
      <c r="Y43" t="str">
        <v>MADRID</v>
      </c>
      <c r="Z43">
        <v>5000</v>
      </c>
      <c r="AA43">
        <v>43869</v>
      </c>
      <c r="AB43" t="str">
        <v>SI</v>
      </c>
      <c r="AE43">
        <v>557</v>
      </c>
      <c r="AF43" t="str">
        <v>DESARROLLO</v>
      </c>
      <c r="AG43" t="str">
        <v>CLIENTE-0002</v>
      </c>
      <c r="AH43" t="str">
        <v>ALICANTE</v>
      </c>
      <c r="AI43">
        <v>1200</v>
      </c>
      <c r="AJ43">
        <v>43774</v>
      </c>
      <c r="AK43" t="str">
        <v>SI</v>
      </c>
      <c r="AN43">
        <v>41</v>
      </c>
      <c r="AO43" t="str">
        <v>CONSULTORIA</v>
      </c>
      <c r="AP43" t="str">
        <v>CLIENTE-0006</v>
      </c>
      <c r="AQ43">
        <v>120</v>
      </c>
      <c r="AR43" t="str">
        <v>SI</v>
      </c>
    </row>
    <row r="44" spans="1:44">
      <c r="A44" s="2">
        <v>43</v>
      </c>
      <c r="B44" t="s">
        <v>13</v>
      </c>
      <c r="C44" t="s">
        <v>23</v>
      </c>
      <c r="D44" t="s">
        <v>24</v>
      </c>
      <c r="E44" s="3">
        <v>350</v>
      </c>
      <c r="F44" s="4">
        <v>43519</v>
      </c>
      <c r="G44" s="2" t="s">
        <v>28</v>
      </c>
      <c r="N44">
        <v>475</v>
      </c>
      <c r="O44" t="str">
        <v>EQUIPOS</v>
      </c>
      <c r="P44" t="str">
        <v>CLIENTE-0010</v>
      </c>
      <c r="Q44" t="str">
        <v>MADRID</v>
      </c>
      <c r="R44" s="10">
        <v>120</v>
      </c>
      <c r="S44">
        <v>43612</v>
      </c>
      <c r="T44" t="str">
        <v>SI</v>
      </c>
      <c r="V44">
        <v>104</v>
      </c>
      <c r="W44" t="str">
        <v>CONSULTORIA</v>
      </c>
      <c r="X44" t="str">
        <v>CLIENTE-0001</v>
      </c>
      <c r="Y44" t="str">
        <v>MADRID</v>
      </c>
      <c r="Z44">
        <v>6500</v>
      </c>
      <c r="AA44">
        <v>44368</v>
      </c>
      <c r="AB44" t="str">
        <v>SI</v>
      </c>
      <c r="AE44">
        <v>592</v>
      </c>
      <c r="AF44" t="str">
        <v>DESARROLLO</v>
      </c>
      <c r="AG44" t="str">
        <v>CLIENTE-0009</v>
      </c>
      <c r="AH44" t="str">
        <v>ALICANTE</v>
      </c>
      <c r="AI44">
        <v>1200</v>
      </c>
      <c r="AJ44">
        <v>43567</v>
      </c>
      <c r="AK44" t="str">
        <v>SI</v>
      </c>
      <c r="AN44">
        <v>42</v>
      </c>
      <c r="AO44" t="str">
        <v>DESARROLLO</v>
      </c>
      <c r="AP44" t="str">
        <v>CLIENTE-0007</v>
      </c>
      <c r="AQ44">
        <v>300</v>
      </c>
      <c r="AR44" t="str">
        <v>SI</v>
      </c>
    </row>
    <row r="45" spans="1:44">
      <c r="A45" s="2">
        <v>44</v>
      </c>
      <c r="B45" t="s">
        <v>16</v>
      </c>
      <c r="C45" t="s">
        <v>25</v>
      </c>
      <c r="D45" t="s">
        <v>24</v>
      </c>
      <c r="E45" s="3">
        <v>300</v>
      </c>
      <c r="F45" s="4">
        <v>44382</v>
      </c>
      <c r="G45" s="2" t="s">
        <v>28</v>
      </c>
      <c r="N45">
        <v>482</v>
      </c>
      <c r="O45" t="str">
        <v>CONSULTORIA</v>
      </c>
      <c r="P45" t="str">
        <v>CLIENTE-0005</v>
      </c>
      <c r="Q45" t="str">
        <v>BARCELONA</v>
      </c>
      <c r="R45" s="10">
        <v>120</v>
      </c>
      <c r="S45">
        <v>43654</v>
      </c>
      <c r="T45" t="str">
        <v>NO</v>
      </c>
      <c r="V45">
        <v>105</v>
      </c>
      <c r="W45" t="str">
        <v>DESARROLLO</v>
      </c>
      <c r="X45" t="str">
        <v>CLIENTE-0010</v>
      </c>
      <c r="Y45" t="str">
        <v>MADRID</v>
      </c>
      <c r="Z45">
        <v>8500</v>
      </c>
      <c r="AA45">
        <v>44206</v>
      </c>
      <c r="AB45" t="str">
        <v>SI</v>
      </c>
      <c r="AE45">
        <v>649</v>
      </c>
      <c r="AF45" t="str">
        <v>DESARROLLO</v>
      </c>
      <c r="AG45" t="str">
        <v>CLIENTE-0009</v>
      </c>
      <c r="AH45" t="str">
        <v>ALICANTE</v>
      </c>
      <c r="AI45">
        <v>1200</v>
      </c>
      <c r="AJ45">
        <v>43468</v>
      </c>
      <c r="AK45" t="str">
        <v>NO</v>
      </c>
      <c r="AN45">
        <v>43</v>
      </c>
      <c r="AO45" t="str">
        <v>PROYECTO</v>
      </c>
      <c r="AP45" t="str">
        <v>CLIENTE-0008</v>
      </c>
      <c r="AQ45">
        <v>350</v>
      </c>
      <c r="AR45" t="str">
        <v>NO</v>
      </c>
    </row>
    <row r="46" spans="1:44">
      <c r="A46" s="2">
        <v>45</v>
      </c>
      <c r="B46" t="s">
        <v>18</v>
      </c>
      <c r="C46" t="s">
        <v>26</v>
      </c>
      <c r="D46" t="s">
        <v>9</v>
      </c>
      <c r="E46" s="3">
        <v>120</v>
      </c>
      <c r="F46" s="4">
        <v>44382</v>
      </c>
      <c r="G46" s="2" t="s">
        <v>28</v>
      </c>
      <c r="N46">
        <v>486</v>
      </c>
      <c r="O46" t="str">
        <v>PROGRAMA</v>
      </c>
      <c r="P46" t="str">
        <v>CLIENTE-0008</v>
      </c>
      <c r="Q46" t="str">
        <v>ALICANTE</v>
      </c>
      <c r="R46" s="10">
        <v>120</v>
      </c>
      <c r="S46">
        <v>44483</v>
      </c>
      <c r="T46" t="str">
        <v>SI</v>
      </c>
      <c r="V46">
        <v>106</v>
      </c>
      <c r="W46" t="str">
        <v>PROYECTO</v>
      </c>
      <c r="X46" t="str">
        <v>CLIENTE-0001</v>
      </c>
      <c r="Y46" t="str">
        <v>MADRID</v>
      </c>
      <c r="Z46">
        <v>1200</v>
      </c>
      <c r="AA46">
        <v>43891</v>
      </c>
      <c r="AB46" t="str">
        <v>SI</v>
      </c>
      <c r="AE46">
        <v>678</v>
      </c>
      <c r="AF46" t="str">
        <v>DESARROLLO</v>
      </c>
      <c r="AG46" t="str">
        <v>CLIENTE-0004</v>
      </c>
      <c r="AH46" t="str">
        <v>MADRID</v>
      </c>
      <c r="AI46">
        <v>1200</v>
      </c>
      <c r="AJ46">
        <v>43468</v>
      </c>
      <c r="AK46" t="str">
        <v>SI</v>
      </c>
      <c r="AN46">
        <v>44</v>
      </c>
      <c r="AO46" t="str">
        <v>EQUIPOS</v>
      </c>
      <c r="AP46" t="str">
        <v>CLIENTE-0009</v>
      </c>
      <c r="AQ46">
        <v>300</v>
      </c>
      <c r="AR46" t="str">
        <v>NO</v>
      </c>
    </row>
    <row r="47" spans="1:44">
      <c r="A47" s="2">
        <v>46</v>
      </c>
      <c r="B47" t="s">
        <v>20</v>
      </c>
      <c r="C47" t="s">
        <v>11</v>
      </c>
      <c r="D47" t="s">
        <v>9</v>
      </c>
      <c r="E47" s="3">
        <v>150</v>
      </c>
      <c r="F47" s="4">
        <v>44528</v>
      </c>
      <c r="G47" s="2" t="s">
        <v>28</v>
      </c>
      <c r="N47">
        <v>517</v>
      </c>
      <c r="O47" t="str">
        <v>PROGRAMA</v>
      </c>
      <c r="P47" t="str">
        <v>CLIENTE-0007</v>
      </c>
      <c r="Q47" t="str">
        <v>BARCELONA</v>
      </c>
      <c r="R47" s="10">
        <v>120</v>
      </c>
      <c r="S47">
        <v>44427</v>
      </c>
      <c r="T47" t="str">
        <v>SI</v>
      </c>
      <c r="V47">
        <v>108</v>
      </c>
      <c r="W47" t="str">
        <v>PROGRAMA</v>
      </c>
      <c r="X47" t="str">
        <v>CLIENTE-0003</v>
      </c>
      <c r="Y47" t="str">
        <v>MADRID</v>
      </c>
      <c r="Z47">
        <v>200</v>
      </c>
      <c r="AA47">
        <v>44183</v>
      </c>
      <c r="AB47" t="str">
        <v>SI</v>
      </c>
      <c r="AE47">
        <v>702</v>
      </c>
      <c r="AF47" t="str">
        <v>DESARROLLO</v>
      </c>
      <c r="AG47" t="str">
        <v>CLIENTE-0010</v>
      </c>
      <c r="AH47" t="str">
        <v>MADRID</v>
      </c>
      <c r="AI47">
        <v>1200</v>
      </c>
      <c r="AJ47">
        <v>44025</v>
      </c>
      <c r="AK47" t="str">
        <v>NO</v>
      </c>
      <c r="AN47">
        <v>45</v>
      </c>
      <c r="AO47" t="str">
        <v>PROGRAMA</v>
      </c>
      <c r="AP47" t="str">
        <v>CLIENTE-0010</v>
      </c>
      <c r="AQ47">
        <v>120</v>
      </c>
      <c r="AR47" t="str">
        <v>NO</v>
      </c>
    </row>
    <row r="48" spans="1:44">
      <c r="A48" s="2">
        <v>47</v>
      </c>
      <c r="B48" t="s">
        <v>22</v>
      </c>
      <c r="C48" t="s">
        <v>14</v>
      </c>
      <c r="D48" t="s">
        <v>15</v>
      </c>
      <c r="E48" s="3">
        <v>8500</v>
      </c>
      <c r="F48" s="4">
        <v>44259</v>
      </c>
      <c r="G48" s="2" t="s">
        <v>28</v>
      </c>
      <c r="N48">
        <v>521</v>
      </c>
      <c r="O48" t="str">
        <v>FORMACION</v>
      </c>
      <c r="P48" t="str">
        <v>CLIENTE-0004</v>
      </c>
      <c r="Q48" t="str">
        <v>MADRID</v>
      </c>
      <c r="R48" s="10">
        <v>120</v>
      </c>
      <c r="S48">
        <v>43826</v>
      </c>
      <c r="T48" t="str">
        <v>SI</v>
      </c>
      <c r="V48">
        <v>109</v>
      </c>
      <c r="W48" t="str">
        <v>FORMACION</v>
      </c>
      <c r="X48" t="str">
        <v>CLIENTE-0004</v>
      </c>
      <c r="Y48" t="str">
        <v>MADRID</v>
      </c>
      <c r="Z48">
        <v>150</v>
      </c>
      <c r="AA48">
        <v>43538</v>
      </c>
      <c r="AB48" t="str">
        <v>SI</v>
      </c>
      <c r="AE48">
        <v>712</v>
      </c>
      <c r="AF48" t="str">
        <v>DESARROLLO</v>
      </c>
      <c r="AG48" t="str">
        <v>CLIENTE-0010</v>
      </c>
      <c r="AH48" t="str">
        <v>MADRID</v>
      </c>
      <c r="AI48">
        <v>1200</v>
      </c>
      <c r="AJ48">
        <v>43516</v>
      </c>
      <c r="AK48" t="str">
        <v>SI</v>
      </c>
      <c r="AN48">
        <v>46</v>
      </c>
      <c r="AO48" t="str">
        <v>FORMACION</v>
      </c>
      <c r="AP48" t="str">
        <v>CLIENTE-0004</v>
      </c>
      <c r="AQ48">
        <v>150</v>
      </c>
      <c r="AR48" t="str">
        <v>NO</v>
      </c>
    </row>
    <row r="49" spans="1:44">
      <c r="A49" s="2">
        <v>48</v>
      </c>
      <c r="B49" t="s">
        <v>10</v>
      </c>
      <c r="C49" t="s">
        <v>17</v>
      </c>
      <c r="D49" t="s">
        <v>15</v>
      </c>
      <c r="E49" s="3">
        <v>1200</v>
      </c>
      <c r="F49" s="4">
        <v>44423</v>
      </c>
      <c r="G49" s="2" t="s">
        <v>28</v>
      </c>
      <c r="N49">
        <v>540</v>
      </c>
      <c r="O49" t="str">
        <v>PROYECTO</v>
      </c>
      <c r="P49" t="str">
        <v>CLIENTE-0005</v>
      </c>
      <c r="Q49" t="str">
        <v>BARCELONA</v>
      </c>
      <c r="R49" s="10">
        <v>120</v>
      </c>
      <c r="S49">
        <v>43577</v>
      </c>
      <c r="T49" t="str">
        <v>SI</v>
      </c>
      <c r="V49">
        <v>115</v>
      </c>
      <c r="W49" t="str">
        <v>PROYECTO</v>
      </c>
      <c r="X49" t="str">
        <v>CLIENTE-0010</v>
      </c>
      <c r="Y49" t="str">
        <v>MADRID</v>
      </c>
      <c r="Z49">
        <v>150</v>
      </c>
      <c r="AA49">
        <v>44007</v>
      </c>
      <c r="AB49" t="str">
        <v>NO</v>
      </c>
      <c r="AE49">
        <v>724</v>
      </c>
      <c r="AF49" t="str">
        <v>DESARROLLO</v>
      </c>
      <c r="AG49" t="str">
        <v>CLIENTE-0010</v>
      </c>
      <c r="AH49" t="str">
        <v>MADRID</v>
      </c>
      <c r="AI49">
        <v>1200</v>
      </c>
      <c r="AJ49">
        <v>43512</v>
      </c>
      <c r="AK49" t="str">
        <v>SI</v>
      </c>
      <c r="AN49">
        <v>47</v>
      </c>
      <c r="AO49" t="str">
        <v>CONSULTORIA</v>
      </c>
      <c r="AP49" t="str">
        <v>CLIENTE-0005</v>
      </c>
      <c r="AQ49">
        <v>8500</v>
      </c>
      <c r="AR49" t="str">
        <v>NO</v>
      </c>
    </row>
    <row r="50" spans="1:44">
      <c r="A50" s="2">
        <v>49</v>
      </c>
      <c r="B50" t="s">
        <v>13</v>
      </c>
      <c r="C50" t="s">
        <v>19</v>
      </c>
      <c r="D50" t="s">
        <v>15</v>
      </c>
      <c r="E50" s="3">
        <v>300</v>
      </c>
      <c r="F50" s="4">
        <v>44202</v>
      </c>
      <c r="G50" s="2" t="s">
        <v>28</v>
      </c>
      <c r="N50">
        <v>544</v>
      </c>
      <c r="O50" t="str">
        <v>CONSULTORIA</v>
      </c>
      <c r="P50" t="str">
        <v>CLIENTE-0009</v>
      </c>
      <c r="Q50" t="str">
        <v>ALICANTE</v>
      </c>
      <c r="R50" s="10">
        <v>120</v>
      </c>
      <c r="S50">
        <v>44147</v>
      </c>
      <c r="T50" t="str">
        <v>SI</v>
      </c>
      <c r="V50">
        <v>116</v>
      </c>
      <c r="W50" t="str">
        <v>EQUIPOS</v>
      </c>
      <c r="X50" t="str">
        <v>CLIENTE-0004</v>
      </c>
      <c r="Y50" t="str">
        <v>MADRID</v>
      </c>
      <c r="Z50">
        <v>8500</v>
      </c>
      <c r="AA50">
        <v>44242</v>
      </c>
      <c r="AB50" t="str">
        <v>NO</v>
      </c>
      <c r="AE50">
        <v>743</v>
      </c>
      <c r="AF50" t="str">
        <v>DESARROLLO</v>
      </c>
      <c r="AG50" t="str">
        <v>CLIENTE-0003</v>
      </c>
      <c r="AH50" t="str">
        <v>MADRID</v>
      </c>
      <c r="AI50">
        <v>1200</v>
      </c>
      <c r="AJ50">
        <v>43576</v>
      </c>
      <c r="AK50" t="str">
        <v>NO</v>
      </c>
      <c r="AN50">
        <v>48</v>
      </c>
      <c r="AO50" t="str">
        <v>DESARROLLO</v>
      </c>
      <c r="AP50" t="str">
        <v>CLIENTE-0006</v>
      </c>
      <c r="AQ50">
        <v>1200</v>
      </c>
      <c r="AR50" t="str">
        <v>NO</v>
      </c>
    </row>
    <row r="51" spans="1:44">
      <c r="A51" s="2">
        <v>50</v>
      </c>
      <c r="B51" t="s">
        <v>16</v>
      </c>
      <c r="C51" t="s">
        <v>21</v>
      </c>
      <c r="D51" t="s">
        <v>9</v>
      </c>
      <c r="E51" s="3">
        <v>200</v>
      </c>
      <c r="F51" s="4">
        <v>43934</v>
      </c>
      <c r="G51" s="2" t="s">
        <v>12</v>
      </c>
      <c r="N51">
        <v>551</v>
      </c>
      <c r="O51" t="str">
        <v>DESARROLLO</v>
      </c>
      <c r="P51" t="str">
        <v>CLIENTE-0008</v>
      </c>
      <c r="Q51" t="str">
        <v>ALICANTE</v>
      </c>
      <c r="R51" s="10">
        <v>120</v>
      </c>
      <c r="S51">
        <v>44555</v>
      </c>
      <c r="T51" t="str">
        <v>NO</v>
      </c>
      <c r="V51">
        <v>123</v>
      </c>
      <c r="W51" t="str">
        <v>CONSULTORIA</v>
      </c>
      <c r="X51" t="str">
        <v>CLIENTE-0010</v>
      </c>
      <c r="Y51" t="str">
        <v>MADRID</v>
      </c>
      <c r="Z51">
        <v>350</v>
      </c>
      <c r="AA51">
        <v>44524</v>
      </c>
      <c r="AB51" t="str">
        <v>SI</v>
      </c>
      <c r="AE51">
        <v>7</v>
      </c>
      <c r="AF51" t="str">
        <v>DESARROLLO</v>
      </c>
      <c r="AG51" t="str">
        <v>CLIENTE-0005</v>
      </c>
      <c r="AH51" t="str">
        <v>BARCELONA</v>
      </c>
      <c r="AI51">
        <v>950</v>
      </c>
      <c r="AJ51">
        <v>43544</v>
      </c>
      <c r="AK51" t="str">
        <v>SI</v>
      </c>
      <c r="AN51">
        <v>49</v>
      </c>
      <c r="AO51" t="str">
        <v>PROYECTO</v>
      </c>
      <c r="AP51" t="str">
        <v>CLIENTE-0007</v>
      </c>
      <c r="AQ51">
        <v>300</v>
      </c>
      <c r="AR51" t="str">
        <v>NO</v>
      </c>
    </row>
    <row r="52" spans="1:44">
      <c r="A52" s="2">
        <v>51</v>
      </c>
      <c r="B52" t="s">
        <v>18</v>
      </c>
      <c r="C52" t="s">
        <v>11</v>
      </c>
      <c r="D52" t="s">
        <v>9</v>
      </c>
      <c r="E52" s="3">
        <v>150</v>
      </c>
      <c r="F52" s="4">
        <v>44007</v>
      </c>
      <c r="G52" s="2" t="s">
        <v>12</v>
      </c>
      <c r="N52">
        <v>555</v>
      </c>
      <c r="O52" t="str">
        <v>FORMACION</v>
      </c>
      <c r="P52" t="str">
        <v>CLIENTE-0010</v>
      </c>
      <c r="Q52" t="str">
        <v>MADRID</v>
      </c>
      <c r="R52" s="10">
        <v>120</v>
      </c>
      <c r="S52">
        <v>44304</v>
      </c>
      <c r="T52" t="str">
        <v>SI</v>
      </c>
      <c r="V52">
        <v>124</v>
      </c>
      <c r="W52" t="str">
        <v>DESARROLLO</v>
      </c>
      <c r="X52" t="str">
        <v>CLIENTE-0001</v>
      </c>
      <c r="Y52" t="str">
        <v>MADRID</v>
      </c>
      <c r="Z52">
        <v>300</v>
      </c>
      <c r="AA52">
        <v>43639</v>
      </c>
      <c r="AB52" t="str">
        <v>SI</v>
      </c>
      <c r="AE52">
        <v>32</v>
      </c>
      <c r="AF52" t="str">
        <v>DESARROLLO</v>
      </c>
      <c r="AG52" t="str">
        <v>CLIENTE-0009</v>
      </c>
      <c r="AH52" t="str">
        <v>ALICANTE</v>
      </c>
      <c r="AI52">
        <v>950</v>
      </c>
      <c r="AJ52">
        <v>43606</v>
      </c>
      <c r="AK52" t="str">
        <v>SI</v>
      </c>
      <c r="AN52">
        <v>50</v>
      </c>
      <c r="AO52" t="str">
        <v>EQUIPOS</v>
      </c>
      <c r="AP52" t="str">
        <v>CLIENTE-0003</v>
      </c>
      <c r="AQ52">
        <v>200</v>
      </c>
      <c r="AR52" t="str">
        <v>SI</v>
      </c>
    </row>
    <row r="53" spans="1:44">
      <c r="A53" s="2">
        <v>52</v>
      </c>
      <c r="B53" t="s">
        <v>20</v>
      </c>
      <c r="C53" t="s">
        <v>14</v>
      </c>
      <c r="D53" t="s">
        <v>15</v>
      </c>
      <c r="E53" s="3">
        <v>120</v>
      </c>
      <c r="F53" s="4">
        <v>44437</v>
      </c>
      <c r="G53" s="2" t="s">
        <v>12</v>
      </c>
      <c r="N53">
        <v>586</v>
      </c>
      <c r="O53" t="str">
        <v>DESARROLLO</v>
      </c>
      <c r="P53" t="str">
        <v>CLIENTE-0004</v>
      </c>
      <c r="Q53" t="str">
        <v>MADRID</v>
      </c>
      <c r="R53" s="10">
        <v>120</v>
      </c>
      <c r="S53">
        <v>44215</v>
      </c>
      <c r="T53" t="str">
        <v>SI</v>
      </c>
      <c r="V53">
        <v>125</v>
      </c>
      <c r="W53" t="str">
        <v>PROYECTO</v>
      </c>
      <c r="X53" t="str">
        <v>CLIENTE-0010</v>
      </c>
      <c r="Y53" t="str">
        <v>MADRID</v>
      </c>
      <c r="Z53">
        <v>120</v>
      </c>
      <c r="AA53">
        <v>43946</v>
      </c>
      <c r="AB53" t="str">
        <v>SI</v>
      </c>
      <c r="AE53">
        <v>66</v>
      </c>
      <c r="AF53" t="str">
        <v>DESARROLLO</v>
      </c>
      <c r="AG53" t="str">
        <v>CLIENTE-0006</v>
      </c>
      <c r="AH53" t="str">
        <v>BARCELONA</v>
      </c>
      <c r="AI53">
        <v>950</v>
      </c>
      <c r="AJ53">
        <v>44269</v>
      </c>
      <c r="AK53" t="str">
        <v>SI</v>
      </c>
      <c r="AN53">
        <v>51</v>
      </c>
      <c r="AO53" t="str">
        <v>PROGRAMA</v>
      </c>
      <c r="AP53" t="str">
        <v>CLIENTE-0004</v>
      </c>
      <c r="AQ53">
        <v>150</v>
      </c>
      <c r="AR53" t="str">
        <v>SI</v>
      </c>
    </row>
    <row r="54" spans="1:44">
      <c r="A54" s="2">
        <v>53</v>
      </c>
      <c r="B54" t="s">
        <v>22</v>
      </c>
      <c r="C54" t="s">
        <v>14</v>
      </c>
      <c r="D54" t="s">
        <v>15</v>
      </c>
      <c r="E54" s="3">
        <v>300</v>
      </c>
      <c r="F54" s="4">
        <v>44216</v>
      </c>
      <c r="G54" s="2" t="s">
        <v>12</v>
      </c>
      <c r="N54">
        <v>590</v>
      </c>
      <c r="O54" t="str">
        <v>FORMACION</v>
      </c>
      <c r="P54" t="str">
        <v>CLIENTE-0007</v>
      </c>
      <c r="Q54" t="str">
        <v>BARCELONA</v>
      </c>
      <c r="R54" s="10">
        <v>120</v>
      </c>
      <c r="S54">
        <v>43588</v>
      </c>
      <c r="T54" t="str">
        <v>SI</v>
      </c>
      <c r="V54">
        <v>126</v>
      </c>
      <c r="W54" t="str">
        <v>EQUIPOS</v>
      </c>
      <c r="X54" t="str">
        <v>CLIENTE-0001</v>
      </c>
      <c r="Y54" t="str">
        <v>MADRID</v>
      </c>
      <c r="Z54">
        <v>150</v>
      </c>
      <c r="AA54">
        <v>43470</v>
      </c>
      <c r="AB54" t="str">
        <v>SI</v>
      </c>
      <c r="AE54">
        <v>76</v>
      </c>
      <c r="AF54" t="str">
        <v>DESARROLLO</v>
      </c>
      <c r="AG54" t="str">
        <v>CLIENTE-0008</v>
      </c>
      <c r="AH54" t="str">
        <v>ALICANTE</v>
      </c>
      <c r="AI54">
        <v>950</v>
      </c>
      <c r="AJ54">
        <v>44101</v>
      </c>
      <c r="AK54" t="str">
        <v>SI</v>
      </c>
      <c r="AN54">
        <v>52</v>
      </c>
      <c r="AO54" t="str">
        <v>FORMACION</v>
      </c>
      <c r="AP54" t="str">
        <v>CLIENTE-0005</v>
      </c>
      <c r="AQ54">
        <v>120</v>
      </c>
      <c r="AR54" t="str">
        <v>SI</v>
      </c>
    </row>
    <row r="55" spans="1:44">
      <c r="A55" s="2">
        <v>54</v>
      </c>
      <c r="B55" t="s">
        <v>10</v>
      </c>
      <c r="C55" t="s">
        <v>17</v>
      </c>
      <c r="D55" t="s">
        <v>15</v>
      </c>
      <c r="E55" s="3">
        <v>350</v>
      </c>
      <c r="F55" s="4">
        <v>44546</v>
      </c>
      <c r="G55" s="2" t="s">
        <v>12</v>
      </c>
      <c r="N55">
        <v>609</v>
      </c>
      <c r="O55" t="str">
        <v>FORMACION</v>
      </c>
      <c r="P55" t="str">
        <v>CLIENTE-0007</v>
      </c>
      <c r="Q55" t="str">
        <v>BARCELONA</v>
      </c>
      <c r="R55" s="10">
        <v>120</v>
      </c>
      <c r="S55">
        <v>43874</v>
      </c>
      <c r="T55" t="str">
        <v>NO</v>
      </c>
      <c r="V55">
        <v>128</v>
      </c>
      <c r="W55" t="str">
        <v>FORMACION</v>
      </c>
      <c r="X55" t="str">
        <v>CLIENTE-0003</v>
      </c>
      <c r="Y55" t="str">
        <v>MADRID</v>
      </c>
      <c r="Z55">
        <v>800</v>
      </c>
      <c r="AA55">
        <v>44379</v>
      </c>
      <c r="AB55" t="str">
        <v>SI</v>
      </c>
      <c r="AE55">
        <v>101</v>
      </c>
      <c r="AF55" t="str">
        <v>DESARROLLO</v>
      </c>
      <c r="AG55" t="str">
        <v>CLIENTE-0008</v>
      </c>
      <c r="AH55" t="str">
        <v>ALICANTE</v>
      </c>
      <c r="AI55">
        <v>950</v>
      </c>
      <c r="AJ55">
        <v>43910</v>
      </c>
      <c r="AK55" t="str">
        <v>SI</v>
      </c>
      <c r="AN55">
        <v>53</v>
      </c>
      <c r="AO55" t="str">
        <v>CONSULTORIA</v>
      </c>
      <c r="AP55" t="str">
        <v>CLIENTE-0005</v>
      </c>
      <c r="AQ55">
        <v>300</v>
      </c>
      <c r="AR55" t="str">
        <v>SI</v>
      </c>
    </row>
    <row r="56" spans="1:44">
      <c r="A56" s="2">
        <v>55</v>
      </c>
      <c r="B56" t="s">
        <v>13</v>
      </c>
      <c r="C56" t="s">
        <v>19</v>
      </c>
      <c r="D56" t="s">
        <v>15</v>
      </c>
      <c r="E56" s="3">
        <v>300</v>
      </c>
      <c r="F56" s="4">
        <v>44141</v>
      </c>
      <c r="G56" s="2" t="s">
        <v>12</v>
      </c>
      <c r="N56">
        <v>613</v>
      </c>
      <c r="O56" t="str">
        <v>EQUIPOS</v>
      </c>
      <c r="P56" t="str">
        <v>CLIENTE-0005</v>
      </c>
      <c r="Q56" t="str">
        <v>BARCELONA</v>
      </c>
      <c r="R56" s="10">
        <v>120</v>
      </c>
      <c r="S56">
        <v>44302</v>
      </c>
      <c r="T56" t="str">
        <v>SI</v>
      </c>
      <c r="V56">
        <v>129</v>
      </c>
      <c r="W56" t="str">
        <v>CONSULTORIA</v>
      </c>
      <c r="X56" t="str">
        <v>CLIENTE-0004</v>
      </c>
      <c r="Y56" t="str">
        <v>MADRID</v>
      </c>
      <c r="Z56">
        <v>750</v>
      </c>
      <c r="AA56">
        <v>43664</v>
      </c>
      <c r="AB56" t="str">
        <v>SI</v>
      </c>
      <c r="AE56">
        <v>170</v>
      </c>
      <c r="AF56" t="str">
        <v>DESARROLLO</v>
      </c>
      <c r="AG56" t="str">
        <v>CLIENTE-0010</v>
      </c>
      <c r="AH56" t="str">
        <v>MADRID</v>
      </c>
      <c r="AI56">
        <v>950</v>
      </c>
      <c r="AJ56">
        <v>43662</v>
      </c>
      <c r="AK56" t="str">
        <v>SI</v>
      </c>
      <c r="AN56">
        <v>54</v>
      </c>
      <c r="AO56" t="str">
        <v>DESARROLLO</v>
      </c>
      <c r="AP56" t="str">
        <v>CLIENTE-0006</v>
      </c>
      <c r="AQ56">
        <v>350</v>
      </c>
      <c r="AR56" t="str">
        <v>SI</v>
      </c>
    </row>
    <row r="57" spans="1:44">
      <c r="A57" s="2">
        <v>56</v>
      </c>
      <c r="B57" t="s">
        <v>16</v>
      </c>
      <c r="C57" t="s">
        <v>23</v>
      </c>
      <c r="D57" t="s">
        <v>24</v>
      </c>
      <c r="E57" s="3">
        <v>120</v>
      </c>
      <c r="F57" s="4">
        <v>44537</v>
      </c>
      <c r="G57" s="2" t="s">
        <v>12</v>
      </c>
      <c r="N57">
        <v>620</v>
      </c>
      <c r="O57" t="str">
        <v>CONSULTORIA</v>
      </c>
      <c r="P57" t="str">
        <v>CLIENTE-0010</v>
      </c>
      <c r="Q57" t="str">
        <v>MADRID</v>
      </c>
      <c r="R57" s="10">
        <v>120</v>
      </c>
      <c r="S57">
        <v>44214</v>
      </c>
      <c r="T57" t="str">
        <v>NO</v>
      </c>
      <c r="V57">
        <v>135</v>
      </c>
      <c r="W57" t="str">
        <v>CONSULTORIA</v>
      </c>
      <c r="X57" t="str">
        <v>CLIENTE-0010</v>
      </c>
      <c r="Y57" t="str">
        <v>MADRID</v>
      </c>
      <c r="Z57">
        <v>950</v>
      </c>
      <c r="AA57">
        <v>44331</v>
      </c>
      <c r="AB57" t="str">
        <v>SI</v>
      </c>
      <c r="AE57">
        <v>271</v>
      </c>
      <c r="AF57" t="str">
        <v>DESARROLLO</v>
      </c>
      <c r="AG57" t="str">
        <v>CLIENTE-0002</v>
      </c>
      <c r="AH57" t="str">
        <v>ALICANTE</v>
      </c>
      <c r="AI57">
        <v>950</v>
      </c>
      <c r="AJ57">
        <v>44519</v>
      </c>
      <c r="AK57" t="str">
        <v>SI</v>
      </c>
      <c r="AN57">
        <v>55</v>
      </c>
      <c r="AO57" t="str">
        <v>PROYECTO</v>
      </c>
      <c r="AP57" t="str">
        <v>CLIENTE-0007</v>
      </c>
      <c r="AQ57">
        <v>300</v>
      </c>
      <c r="AR57" t="str">
        <v>SI</v>
      </c>
    </row>
    <row r="58" spans="1:44">
      <c r="A58" s="2">
        <v>57</v>
      </c>
      <c r="B58" t="s">
        <v>18</v>
      </c>
      <c r="C58" t="s">
        <v>25</v>
      </c>
      <c r="D58" t="s">
        <v>24</v>
      </c>
      <c r="E58" s="3">
        <v>150</v>
      </c>
      <c r="F58" s="4">
        <v>43503</v>
      </c>
      <c r="G58" s="2" t="s">
        <v>28</v>
      </c>
      <c r="N58">
        <v>624</v>
      </c>
      <c r="O58" t="str">
        <v>PROGRAMA</v>
      </c>
      <c r="P58" t="str">
        <v>CLIENTE-0004</v>
      </c>
      <c r="Q58" t="str">
        <v>MADRID</v>
      </c>
      <c r="R58" s="10">
        <v>120</v>
      </c>
      <c r="S58">
        <v>44102</v>
      </c>
      <c r="T58" t="str">
        <v>SI</v>
      </c>
      <c r="V58">
        <v>136</v>
      </c>
      <c r="W58" t="str">
        <v>DESARROLLO</v>
      </c>
      <c r="X58" t="str">
        <v>CLIENTE-0004</v>
      </c>
      <c r="Y58" t="str">
        <v>MADRID</v>
      </c>
      <c r="Z58">
        <v>1500</v>
      </c>
      <c r="AA58">
        <v>44356</v>
      </c>
      <c r="AB58" t="str">
        <v>SI</v>
      </c>
      <c r="AE58">
        <v>391</v>
      </c>
      <c r="AF58" t="str">
        <v>DESARROLLO</v>
      </c>
      <c r="AG58" t="str">
        <v>CLIENTE-0004</v>
      </c>
      <c r="AH58" t="str">
        <v>MADRID</v>
      </c>
      <c r="AI58">
        <v>950</v>
      </c>
      <c r="AJ58">
        <v>43979</v>
      </c>
      <c r="AK58" t="str">
        <v>SI</v>
      </c>
      <c r="AN58">
        <v>56</v>
      </c>
      <c r="AO58" t="str">
        <v>EQUIPOS</v>
      </c>
      <c r="AP58" t="str">
        <v>CLIENTE-0008</v>
      </c>
      <c r="AQ58">
        <v>120</v>
      </c>
      <c r="AR58" t="str">
        <v>SI</v>
      </c>
    </row>
    <row r="59" spans="1:44">
      <c r="A59" s="2">
        <v>58</v>
      </c>
      <c r="B59" t="s">
        <v>20</v>
      </c>
      <c r="C59" t="s">
        <v>26</v>
      </c>
      <c r="D59" t="s">
        <v>9</v>
      </c>
      <c r="E59" s="3">
        <v>1200</v>
      </c>
      <c r="F59" s="4">
        <v>43660</v>
      </c>
      <c r="G59" s="2" t="s">
        <v>28</v>
      </c>
      <c r="N59">
        <v>634</v>
      </c>
      <c r="O59" t="str">
        <v>PROYECTO</v>
      </c>
      <c r="P59" t="str">
        <v>CLIENTE-0006</v>
      </c>
      <c r="Q59" t="str">
        <v>BARCELONA</v>
      </c>
      <c r="R59" s="10">
        <v>120</v>
      </c>
      <c r="S59">
        <v>43577</v>
      </c>
      <c r="T59" t="str">
        <v>SI</v>
      </c>
      <c r="V59">
        <v>140</v>
      </c>
      <c r="W59" t="str">
        <v>FORMACION</v>
      </c>
      <c r="X59" t="str">
        <v>CLIENTE-0003</v>
      </c>
      <c r="Y59" t="str">
        <v>MADRID</v>
      </c>
      <c r="Z59">
        <v>800</v>
      </c>
      <c r="AA59">
        <v>44199</v>
      </c>
      <c r="AB59" t="str">
        <v>NO</v>
      </c>
      <c r="AE59">
        <v>508</v>
      </c>
      <c r="AF59" t="str">
        <v>DESARROLLO</v>
      </c>
      <c r="AG59" t="str">
        <v>CLIENTE-0010</v>
      </c>
      <c r="AH59" t="str">
        <v>MADRID</v>
      </c>
      <c r="AI59">
        <v>950</v>
      </c>
      <c r="AJ59">
        <v>43716</v>
      </c>
      <c r="AK59" t="str">
        <v>NO</v>
      </c>
      <c r="AN59">
        <v>57</v>
      </c>
      <c r="AO59" t="str">
        <v>PROGRAMA</v>
      </c>
      <c r="AP59" t="str">
        <v>CLIENTE-0009</v>
      </c>
      <c r="AQ59">
        <v>150</v>
      </c>
      <c r="AR59" t="str">
        <v>NO</v>
      </c>
    </row>
    <row r="60" spans="1:44">
      <c r="A60" s="2">
        <v>59</v>
      </c>
      <c r="B60" t="s">
        <v>22</v>
      </c>
      <c r="C60" t="s">
        <v>27</v>
      </c>
      <c r="D60" t="s">
        <v>9</v>
      </c>
      <c r="E60" s="3">
        <v>800</v>
      </c>
      <c r="F60" s="4">
        <v>44056</v>
      </c>
      <c r="G60" s="2" t="s">
        <v>28</v>
      </c>
      <c r="N60">
        <v>653</v>
      </c>
      <c r="O60" t="str">
        <v>FORMACION</v>
      </c>
      <c r="P60" t="str">
        <v>CLIENTE-0001</v>
      </c>
      <c r="Q60" t="str">
        <v>MADRID</v>
      </c>
      <c r="R60" s="10">
        <v>120</v>
      </c>
      <c r="S60">
        <v>44334</v>
      </c>
      <c r="T60" t="str">
        <v>SI</v>
      </c>
      <c r="V60">
        <v>141</v>
      </c>
      <c r="W60" t="str">
        <v>CONSULTORIA</v>
      </c>
      <c r="X60" t="str">
        <v>CLIENTE-0004</v>
      </c>
      <c r="Y60" t="str">
        <v>MADRID</v>
      </c>
      <c r="Z60">
        <v>750</v>
      </c>
      <c r="AA60">
        <v>43712</v>
      </c>
      <c r="AB60" t="str">
        <v>NO</v>
      </c>
      <c r="AE60">
        <v>684</v>
      </c>
      <c r="AF60" t="str">
        <v>DESARROLLO</v>
      </c>
      <c r="AG60" t="str">
        <v>CLIENTE-0005</v>
      </c>
      <c r="AH60" t="str">
        <v>BARCELONA</v>
      </c>
      <c r="AI60">
        <v>950</v>
      </c>
      <c r="AJ60">
        <v>43923</v>
      </c>
      <c r="AK60" t="str">
        <v>SI</v>
      </c>
      <c r="AN60">
        <v>58</v>
      </c>
      <c r="AO60" t="str">
        <v>FORMACION</v>
      </c>
      <c r="AP60" t="str">
        <v>CLIENTE-0010</v>
      </c>
      <c r="AQ60">
        <v>1200</v>
      </c>
      <c r="AR60" t="str">
        <v>NO</v>
      </c>
    </row>
    <row r="61" spans="1:44">
      <c r="A61" s="2">
        <v>60</v>
      </c>
      <c r="B61" t="s">
        <v>10</v>
      </c>
      <c r="C61" t="s">
        <v>26</v>
      </c>
      <c r="D61" t="s">
        <v>9</v>
      </c>
      <c r="E61" s="3">
        <v>750</v>
      </c>
      <c r="F61" s="4">
        <v>44096</v>
      </c>
      <c r="G61" s="2" t="s">
        <v>28</v>
      </c>
      <c r="N61">
        <v>657</v>
      </c>
      <c r="O61" t="str">
        <v>EQUIPOS</v>
      </c>
      <c r="P61" t="str">
        <v>CLIENTE-0010</v>
      </c>
      <c r="Q61" t="str">
        <v>MADRID</v>
      </c>
      <c r="R61" s="10">
        <v>120</v>
      </c>
      <c r="S61">
        <v>44049</v>
      </c>
      <c r="T61" t="str">
        <v>SI</v>
      </c>
      <c r="V61">
        <v>148</v>
      </c>
      <c r="W61" t="str">
        <v>DESARROLLO</v>
      </c>
      <c r="X61" t="str">
        <v>CLIENTE-0010</v>
      </c>
      <c r="Y61" t="str">
        <v>MADRID</v>
      </c>
      <c r="Z61">
        <v>1500</v>
      </c>
      <c r="AA61">
        <v>44233</v>
      </c>
      <c r="AB61" t="str">
        <v>SI</v>
      </c>
      <c r="AE61">
        <v>718</v>
      </c>
      <c r="AF61" t="str">
        <v>DESARROLLO</v>
      </c>
      <c r="AG61" t="str">
        <v>CLIENTE-0006</v>
      </c>
      <c r="AH61" t="str">
        <v>BARCELONA</v>
      </c>
      <c r="AI61">
        <v>950</v>
      </c>
      <c r="AJ61">
        <v>44383</v>
      </c>
      <c r="AK61" t="str">
        <v>NO</v>
      </c>
      <c r="AN61">
        <v>59</v>
      </c>
      <c r="AO61" t="str">
        <v>CONSULTORIA</v>
      </c>
      <c r="AP61" t="str">
        <v>CLIENTE-0001</v>
      </c>
      <c r="AQ61">
        <v>800</v>
      </c>
      <c r="AR61" t="str">
        <v>NO</v>
      </c>
    </row>
    <row r="62" spans="1:44">
      <c r="A62" s="2">
        <v>61</v>
      </c>
      <c r="B62" t="s">
        <v>13</v>
      </c>
      <c r="C62" t="s">
        <v>27</v>
      </c>
      <c r="D62" t="s">
        <v>9</v>
      </c>
      <c r="E62" s="3">
        <v>4500</v>
      </c>
      <c r="F62" s="4">
        <v>44327</v>
      </c>
      <c r="G62" s="2" t="s">
        <v>28</v>
      </c>
      <c r="N62">
        <v>664</v>
      </c>
      <c r="O62" t="str">
        <v>PROGRAMA</v>
      </c>
      <c r="P62" t="str">
        <v>CLIENTE-0009</v>
      </c>
      <c r="Q62" t="str">
        <v>ALICANTE</v>
      </c>
      <c r="R62" s="10">
        <v>120</v>
      </c>
      <c r="S62">
        <v>44142</v>
      </c>
      <c r="T62" t="str">
        <v>SI</v>
      </c>
      <c r="V62">
        <v>149</v>
      </c>
      <c r="W62" t="str">
        <v>PROYECTO</v>
      </c>
      <c r="X62" t="str">
        <v>CLIENTE-0001</v>
      </c>
      <c r="Y62" t="str">
        <v>MADRID</v>
      </c>
      <c r="Z62">
        <v>5000</v>
      </c>
      <c r="AA62">
        <v>44273</v>
      </c>
      <c r="AB62" t="str">
        <v>SI</v>
      </c>
      <c r="AE62">
        <v>420</v>
      </c>
      <c r="AF62" t="str">
        <v>DESARROLLO</v>
      </c>
      <c r="AG62" t="str">
        <v>CLIENTE-0010</v>
      </c>
      <c r="AH62" t="str">
        <v>MADRID</v>
      </c>
      <c r="AI62">
        <v>800</v>
      </c>
      <c r="AJ62">
        <v>44534</v>
      </c>
      <c r="AK62" t="str">
        <v>SI</v>
      </c>
      <c r="AN62">
        <v>60</v>
      </c>
      <c r="AO62" t="str">
        <v>DESARROLLO</v>
      </c>
      <c r="AP62" t="str">
        <v>CLIENTE-0010</v>
      </c>
      <c r="AQ62">
        <v>750</v>
      </c>
      <c r="AR62" t="str">
        <v>NO</v>
      </c>
    </row>
    <row r="63" spans="1:44">
      <c r="A63" s="2">
        <v>62</v>
      </c>
      <c r="B63" t="s">
        <v>16</v>
      </c>
      <c r="C63" t="s">
        <v>29</v>
      </c>
      <c r="D63" t="s">
        <v>24</v>
      </c>
      <c r="E63" s="3">
        <v>500</v>
      </c>
      <c r="F63" s="4">
        <v>43956</v>
      </c>
      <c r="G63" s="2" t="s">
        <v>28</v>
      </c>
      <c r="N63">
        <v>672</v>
      </c>
      <c r="O63" t="str">
        <v>FORMACION</v>
      </c>
      <c r="P63" t="str">
        <v>CLIENTE-0005</v>
      </c>
      <c r="Q63" t="str">
        <v>BARCELONA</v>
      </c>
      <c r="R63" s="10">
        <v>120</v>
      </c>
      <c r="S63">
        <v>44219</v>
      </c>
      <c r="T63" t="str">
        <v>NO</v>
      </c>
      <c r="V63">
        <v>150</v>
      </c>
      <c r="W63" t="str">
        <v>EQUIPOS</v>
      </c>
      <c r="X63" t="str">
        <v>CLIENTE-0010</v>
      </c>
      <c r="Y63" t="str">
        <v>MADRID</v>
      </c>
      <c r="Z63">
        <v>6500</v>
      </c>
      <c r="AA63">
        <v>43645</v>
      </c>
      <c r="AB63" t="str">
        <v>SI</v>
      </c>
      <c r="AE63">
        <v>455</v>
      </c>
      <c r="AF63" t="str">
        <v>DESARROLLO</v>
      </c>
      <c r="AG63" t="str">
        <v>CLIENTE-0010</v>
      </c>
      <c r="AH63" t="str">
        <v>MADRID</v>
      </c>
      <c r="AI63">
        <v>800</v>
      </c>
      <c r="AJ63">
        <v>43605</v>
      </c>
      <c r="AK63" t="str">
        <v>NO</v>
      </c>
      <c r="AN63">
        <v>61</v>
      </c>
      <c r="AO63" t="str">
        <v>PROYECTO</v>
      </c>
      <c r="AP63" t="str">
        <v>CLIENTE-0001</v>
      </c>
      <c r="AQ63">
        <v>4500</v>
      </c>
      <c r="AR63" t="str">
        <v>NO</v>
      </c>
    </row>
    <row r="64" spans="1:44">
      <c r="A64" s="2">
        <v>63</v>
      </c>
      <c r="B64" t="s">
        <v>18</v>
      </c>
      <c r="C64" t="s">
        <v>21</v>
      </c>
      <c r="D64" t="s">
        <v>9</v>
      </c>
      <c r="E64" s="3">
        <v>750</v>
      </c>
      <c r="F64" s="4">
        <v>43950</v>
      </c>
      <c r="G64" s="2" t="s">
        <v>12</v>
      </c>
      <c r="N64">
        <v>676</v>
      </c>
      <c r="O64" t="str">
        <v>EQUIPOS</v>
      </c>
      <c r="P64" t="str">
        <v>CLIENTE-0009</v>
      </c>
      <c r="Q64" t="str">
        <v>ALICANTE</v>
      </c>
      <c r="R64" s="10">
        <v>120</v>
      </c>
      <c r="S64">
        <v>44215</v>
      </c>
      <c r="T64" t="str">
        <v>NO</v>
      </c>
      <c r="V64">
        <v>151</v>
      </c>
      <c r="W64" t="str">
        <v>PROGRAMA</v>
      </c>
      <c r="X64" t="str">
        <v>CLIENTE-0001</v>
      </c>
      <c r="Y64" t="str">
        <v>MADRID</v>
      </c>
      <c r="Z64">
        <v>8500</v>
      </c>
      <c r="AA64">
        <v>44140</v>
      </c>
      <c r="AB64" t="str">
        <v>SI</v>
      </c>
      <c r="AE64">
        <v>489</v>
      </c>
      <c r="AF64" t="str">
        <v>DESARROLLO</v>
      </c>
      <c r="AG64" t="str">
        <v>CLIENTE-0001</v>
      </c>
      <c r="AH64" t="str">
        <v>MADRID</v>
      </c>
      <c r="AI64">
        <v>800</v>
      </c>
      <c r="AJ64">
        <v>43669</v>
      </c>
      <c r="AK64" t="str">
        <v>SI</v>
      </c>
      <c r="AN64">
        <v>62</v>
      </c>
      <c r="AO64" t="str">
        <v>EQUIPOS</v>
      </c>
      <c r="AP64" t="str">
        <v>CLIENTE-0002</v>
      </c>
      <c r="AQ64">
        <v>500</v>
      </c>
      <c r="AR64" t="str">
        <v>NO</v>
      </c>
    </row>
    <row r="65" spans="1:44">
      <c r="A65" s="2">
        <v>64</v>
      </c>
      <c r="B65" t="s">
        <v>20</v>
      </c>
      <c r="C65" t="s">
        <v>11</v>
      </c>
      <c r="D65" t="s">
        <v>9</v>
      </c>
      <c r="E65" s="3">
        <v>950</v>
      </c>
      <c r="F65" s="4">
        <v>43634</v>
      </c>
      <c r="G65" s="2" t="s">
        <v>12</v>
      </c>
      <c r="N65">
        <v>695</v>
      </c>
      <c r="O65" t="str">
        <v>CONSULTORIA</v>
      </c>
      <c r="P65" t="str">
        <v>CLIENTE-0003</v>
      </c>
      <c r="Q65" t="str">
        <v>MADRID</v>
      </c>
      <c r="R65" s="10">
        <v>120</v>
      </c>
      <c r="S65">
        <v>44359</v>
      </c>
      <c r="T65" t="str">
        <v>SI</v>
      </c>
      <c r="V65">
        <v>153</v>
      </c>
      <c r="W65" t="str">
        <v>CONSULTORIA</v>
      </c>
      <c r="X65" t="str">
        <v>CLIENTE-0003</v>
      </c>
      <c r="Y65" t="str">
        <v>MADRID</v>
      </c>
      <c r="Z65">
        <v>300</v>
      </c>
      <c r="AA65">
        <v>43708</v>
      </c>
      <c r="AB65" t="str">
        <v>NO</v>
      </c>
      <c r="AE65">
        <v>501</v>
      </c>
      <c r="AF65" t="str">
        <v>DESARROLLO</v>
      </c>
      <c r="AG65" t="str">
        <v>CLIENTE-0004</v>
      </c>
      <c r="AH65" t="str">
        <v>MADRID</v>
      </c>
      <c r="AI65">
        <v>800</v>
      </c>
      <c r="AJ65">
        <v>43717</v>
      </c>
      <c r="AK65" t="str">
        <v>SI</v>
      </c>
      <c r="AN65">
        <v>63</v>
      </c>
      <c r="AO65" t="str">
        <v>PROGRAMA</v>
      </c>
      <c r="AP65" t="str">
        <v>CLIENTE-0003</v>
      </c>
      <c r="AQ65">
        <v>750</v>
      </c>
      <c r="AR65" t="str">
        <v>SI</v>
      </c>
    </row>
    <row r="66" spans="1:44">
      <c r="A66" s="2">
        <v>65</v>
      </c>
      <c r="B66" t="s">
        <v>22</v>
      </c>
      <c r="C66" t="s">
        <v>14</v>
      </c>
      <c r="D66" t="s">
        <v>15</v>
      </c>
      <c r="E66" s="3">
        <v>680</v>
      </c>
      <c r="F66" s="4">
        <v>44238</v>
      </c>
      <c r="G66" s="2" t="s">
        <v>12</v>
      </c>
      <c r="N66">
        <v>699</v>
      </c>
      <c r="O66" t="str">
        <v>PROGRAMA</v>
      </c>
      <c r="P66" t="str">
        <v>CLIENTE-0007</v>
      </c>
      <c r="Q66" t="str">
        <v>BARCELONA</v>
      </c>
      <c r="R66" s="10">
        <v>120</v>
      </c>
      <c r="S66">
        <v>43964</v>
      </c>
      <c r="T66" t="str">
        <v>NO</v>
      </c>
      <c r="V66">
        <v>154</v>
      </c>
      <c r="W66" t="str">
        <v>DESARROLLO</v>
      </c>
      <c r="X66" t="str">
        <v>CLIENTE-0004</v>
      </c>
      <c r="Y66" t="str">
        <v>MADRID</v>
      </c>
      <c r="Z66">
        <v>200</v>
      </c>
      <c r="AA66">
        <v>44069</v>
      </c>
      <c r="AB66" t="str">
        <v>NO</v>
      </c>
      <c r="AE66">
        <v>627</v>
      </c>
      <c r="AF66" t="str">
        <v>DESARROLLO</v>
      </c>
      <c r="AG66" t="str">
        <v>CLIENTE-0007</v>
      </c>
      <c r="AH66" t="str">
        <v>BARCELONA</v>
      </c>
      <c r="AI66">
        <v>800</v>
      </c>
      <c r="AJ66">
        <v>43473</v>
      </c>
      <c r="AK66" t="str">
        <v>SI</v>
      </c>
      <c r="AN66">
        <v>64</v>
      </c>
      <c r="AO66" t="str">
        <v>FORMACION</v>
      </c>
      <c r="AP66" t="str">
        <v>CLIENTE-0004</v>
      </c>
      <c r="AQ66">
        <v>950</v>
      </c>
      <c r="AR66" t="str">
        <v>SI</v>
      </c>
    </row>
    <row r="67" spans="1:44">
      <c r="A67" s="2">
        <v>66</v>
      </c>
      <c r="B67" t="s">
        <v>10</v>
      </c>
      <c r="C67" t="s">
        <v>17</v>
      </c>
      <c r="D67" t="s">
        <v>15</v>
      </c>
      <c r="E67" s="3">
        <v>950</v>
      </c>
      <c r="F67" s="4">
        <v>44269</v>
      </c>
      <c r="G67" s="2" t="s">
        <v>12</v>
      </c>
      <c r="N67">
        <v>706</v>
      </c>
      <c r="O67" t="str">
        <v>FORMACION</v>
      </c>
      <c r="P67" t="str">
        <v>CLIENTE-0006</v>
      </c>
      <c r="Q67" t="str">
        <v>BARCELONA</v>
      </c>
      <c r="R67" s="10">
        <v>120</v>
      </c>
      <c r="S67">
        <v>43840</v>
      </c>
      <c r="T67" t="str">
        <v>SI</v>
      </c>
      <c r="V67">
        <v>160</v>
      </c>
      <c r="W67" t="str">
        <v>EQUIPOS</v>
      </c>
      <c r="X67" t="str">
        <v>CLIENTE-0010</v>
      </c>
      <c r="Y67" t="str">
        <v>MADRID</v>
      </c>
      <c r="Z67">
        <v>120</v>
      </c>
      <c r="AA67">
        <v>43982</v>
      </c>
      <c r="AB67" t="str">
        <v>SI</v>
      </c>
      <c r="AE67">
        <v>778</v>
      </c>
      <c r="AF67" t="str">
        <v>DESARROLLO</v>
      </c>
      <c r="AG67" t="str">
        <v>CLIENTE-0005</v>
      </c>
      <c r="AH67" t="str">
        <v>BARCELONA</v>
      </c>
      <c r="AI67">
        <v>800</v>
      </c>
      <c r="AJ67">
        <v>44266</v>
      </c>
      <c r="AK67" t="str">
        <v>SI</v>
      </c>
      <c r="AN67">
        <v>65</v>
      </c>
      <c r="AO67" t="str">
        <v>CONSULTORIA</v>
      </c>
      <c r="AP67" t="str">
        <v>CLIENTE-0005</v>
      </c>
      <c r="AQ67">
        <v>680</v>
      </c>
      <c r="AR67" t="str">
        <v>SI</v>
      </c>
    </row>
    <row r="68" spans="1:44">
      <c r="A68" s="2">
        <v>67</v>
      </c>
      <c r="B68" t="s">
        <v>13</v>
      </c>
      <c r="C68" t="s">
        <v>19</v>
      </c>
      <c r="D68" t="s">
        <v>15</v>
      </c>
      <c r="E68" s="3">
        <v>1500</v>
      </c>
      <c r="F68" s="4">
        <v>44444</v>
      </c>
      <c r="G68" s="2" t="s">
        <v>12</v>
      </c>
      <c r="N68">
        <v>710</v>
      </c>
      <c r="O68" t="str">
        <v>EQUIPOS</v>
      </c>
      <c r="P68" t="str">
        <v>CLIENTE-0010</v>
      </c>
      <c r="Q68" t="str">
        <v>MADRID</v>
      </c>
      <c r="R68" s="10">
        <v>120</v>
      </c>
      <c r="S68">
        <v>44555</v>
      </c>
      <c r="T68" t="str">
        <v>SI</v>
      </c>
      <c r="V68">
        <v>161</v>
      </c>
      <c r="W68" t="str">
        <v>PROGRAMA</v>
      </c>
      <c r="X68" t="str">
        <v>CLIENTE-0004</v>
      </c>
      <c r="Y68" t="str">
        <v>MADRID</v>
      </c>
      <c r="Z68">
        <v>150</v>
      </c>
      <c r="AA68">
        <v>43919</v>
      </c>
      <c r="AB68" t="str">
        <v>SI</v>
      </c>
      <c r="AE68">
        <v>60</v>
      </c>
      <c r="AF68" t="str">
        <v>DESARROLLO</v>
      </c>
      <c r="AG68" t="str">
        <v>CLIENTE-0010</v>
      </c>
      <c r="AH68" t="str">
        <v>MADRID</v>
      </c>
      <c r="AI68">
        <v>750</v>
      </c>
      <c r="AJ68">
        <v>44096</v>
      </c>
      <c r="AK68" t="str">
        <v>NO</v>
      </c>
      <c r="AN68">
        <v>66</v>
      </c>
      <c r="AO68" t="str">
        <v>DESARROLLO</v>
      </c>
      <c r="AP68" t="str">
        <v>CLIENTE-0006</v>
      </c>
      <c r="AQ68">
        <v>950</v>
      </c>
      <c r="AR68" t="str">
        <v>SI</v>
      </c>
    </row>
    <row r="69" spans="1:44">
      <c r="A69" s="2">
        <v>68</v>
      </c>
      <c r="B69" t="s">
        <v>16</v>
      </c>
      <c r="C69" t="s">
        <v>23</v>
      </c>
      <c r="D69" t="s">
        <v>24</v>
      </c>
      <c r="E69" s="3">
        <v>5000</v>
      </c>
      <c r="F69" s="4">
        <v>43942</v>
      </c>
      <c r="G69" s="2" t="s">
        <v>12</v>
      </c>
      <c r="N69">
        <v>737</v>
      </c>
      <c r="O69" t="str">
        <v>DESARROLLO</v>
      </c>
      <c r="P69" t="str">
        <v>CLIENTE-0005</v>
      </c>
      <c r="Q69" t="str">
        <v>BARCELONA</v>
      </c>
      <c r="R69" s="10">
        <v>120</v>
      </c>
      <c r="S69">
        <v>44306</v>
      </c>
      <c r="T69" t="str">
        <v>SI</v>
      </c>
      <c r="V69">
        <v>168</v>
      </c>
      <c r="W69" t="str">
        <v>FORMACION</v>
      </c>
      <c r="X69" t="str">
        <v>CLIENTE-0010</v>
      </c>
      <c r="Y69" t="str">
        <v>MADRID</v>
      </c>
      <c r="Z69">
        <v>950</v>
      </c>
      <c r="AA69">
        <v>43632</v>
      </c>
      <c r="AB69" t="str">
        <v>SI</v>
      </c>
      <c r="AE69">
        <v>95</v>
      </c>
      <c r="AF69" t="str">
        <v>DESARROLLO</v>
      </c>
      <c r="AG69" t="str">
        <v>CLIENTE-0003</v>
      </c>
      <c r="AH69" t="str">
        <v>MADRID</v>
      </c>
      <c r="AI69">
        <v>750</v>
      </c>
      <c r="AJ69">
        <v>44127</v>
      </c>
      <c r="AK69" t="str">
        <v>SI</v>
      </c>
      <c r="AN69">
        <v>67</v>
      </c>
      <c r="AO69" t="str">
        <v>PROYECTO</v>
      </c>
      <c r="AP69" t="str">
        <v>CLIENTE-0007</v>
      </c>
      <c r="AQ69">
        <v>1500</v>
      </c>
      <c r="AR69" t="str">
        <v>SI</v>
      </c>
    </row>
    <row r="70" spans="1:44">
      <c r="A70" s="2">
        <v>69</v>
      </c>
      <c r="B70" t="s">
        <v>22</v>
      </c>
      <c r="C70" t="s">
        <v>25</v>
      </c>
      <c r="D70" t="s">
        <v>24</v>
      </c>
      <c r="E70" s="3">
        <v>6500</v>
      </c>
      <c r="F70" s="4">
        <v>43587</v>
      </c>
      <c r="G70" s="2" t="s">
        <v>12</v>
      </c>
      <c r="N70">
        <v>741</v>
      </c>
      <c r="O70" t="str">
        <v>FORMACION</v>
      </c>
      <c r="P70" t="str">
        <v>CLIENTE-0006</v>
      </c>
      <c r="Q70" t="str">
        <v>BARCELONA</v>
      </c>
      <c r="R70" s="10">
        <v>120</v>
      </c>
      <c r="S70">
        <v>43636</v>
      </c>
      <c r="T70" t="str">
        <v>NO</v>
      </c>
      <c r="V70">
        <v>169</v>
      </c>
      <c r="W70" t="str">
        <v>CONSULTORIA</v>
      </c>
      <c r="X70" t="str">
        <v>CLIENTE-0001</v>
      </c>
      <c r="Y70" t="str">
        <v>MADRID</v>
      </c>
      <c r="Z70">
        <v>680</v>
      </c>
      <c r="AA70">
        <v>43638</v>
      </c>
      <c r="AB70" t="str">
        <v>SI</v>
      </c>
      <c r="AE70">
        <v>164</v>
      </c>
      <c r="AF70" t="str">
        <v>DESARROLLO</v>
      </c>
      <c r="AG70" t="str">
        <v>CLIENTE-0006</v>
      </c>
      <c r="AH70" t="str">
        <v>BARCELONA</v>
      </c>
      <c r="AI70">
        <v>750</v>
      </c>
      <c r="AJ70">
        <v>44452</v>
      </c>
      <c r="AK70" t="str">
        <v>SI</v>
      </c>
      <c r="AN70">
        <v>68</v>
      </c>
      <c r="AO70" t="str">
        <v>EQUIPOS</v>
      </c>
      <c r="AP70" t="str">
        <v>CLIENTE-0008</v>
      </c>
      <c r="AQ70">
        <v>5000</v>
      </c>
      <c r="AR70" t="str">
        <v>SI</v>
      </c>
    </row>
    <row r="71" spans="1:44">
      <c r="A71" s="2">
        <v>70</v>
      </c>
      <c r="B71" t="s">
        <v>10</v>
      </c>
      <c r="C71" t="s">
        <v>26</v>
      </c>
      <c r="D71" t="s">
        <v>9</v>
      </c>
      <c r="E71" s="3">
        <v>1200</v>
      </c>
      <c r="F71" s="4">
        <v>43584</v>
      </c>
      <c r="G71" s="2" t="s">
        <v>12</v>
      </c>
      <c r="N71">
        <v>760</v>
      </c>
      <c r="O71" t="str">
        <v>FORMACION</v>
      </c>
      <c r="P71" t="str">
        <v>CLIENTE-0007</v>
      </c>
      <c r="Q71" t="str">
        <v>BARCELONA</v>
      </c>
      <c r="R71" s="10">
        <v>120</v>
      </c>
      <c r="S71">
        <v>44450</v>
      </c>
      <c r="T71" t="str">
        <v>SI</v>
      </c>
      <c r="V71">
        <v>170</v>
      </c>
      <c r="W71" t="str">
        <v>DESARROLLO</v>
      </c>
      <c r="X71" t="str">
        <v>CLIENTE-0010</v>
      </c>
      <c r="Y71" t="str">
        <v>MADRID</v>
      </c>
      <c r="Z71">
        <v>950</v>
      </c>
      <c r="AA71">
        <v>43662</v>
      </c>
      <c r="AB71" t="str">
        <v>SI</v>
      </c>
      <c r="AE71">
        <v>236</v>
      </c>
      <c r="AF71" t="str">
        <v>DESARROLLO</v>
      </c>
      <c r="AG71" t="str">
        <v>CLIENTE-0001</v>
      </c>
      <c r="AH71" t="str">
        <v>MADRID</v>
      </c>
      <c r="AI71">
        <v>750</v>
      </c>
      <c r="AJ71">
        <v>44047</v>
      </c>
      <c r="AK71" t="str">
        <v>SI</v>
      </c>
      <c r="AN71">
        <v>69</v>
      </c>
      <c r="AO71" t="str">
        <v>CONSULTORIA</v>
      </c>
      <c r="AP71" t="str">
        <v>CLIENTE-0009</v>
      </c>
      <c r="AQ71">
        <v>6500</v>
      </c>
      <c r="AR71" t="str">
        <v>SI</v>
      </c>
    </row>
    <row r="72" spans="1:44">
      <c r="A72" s="2">
        <v>71</v>
      </c>
      <c r="B72" t="s">
        <v>13</v>
      </c>
      <c r="C72" t="s">
        <v>11</v>
      </c>
      <c r="D72" t="s">
        <v>9</v>
      </c>
      <c r="E72" s="3">
        <v>800</v>
      </c>
      <c r="F72" s="4">
        <v>44280</v>
      </c>
      <c r="G72" s="2" t="s">
        <v>12</v>
      </c>
      <c r="N72">
        <v>764</v>
      </c>
      <c r="O72" t="str">
        <v>EQUIPOS</v>
      </c>
      <c r="P72" t="str">
        <v>CLIENTE-0004</v>
      </c>
      <c r="Q72" t="str">
        <v>MADRID</v>
      </c>
      <c r="R72" s="10">
        <v>120</v>
      </c>
      <c r="S72">
        <v>43854</v>
      </c>
      <c r="T72" t="str">
        <v>SI</v>
      </c>
      <c r="V72">
        <v>171</v>
      </c>
      <c r="W72" t="str">
        <v>PROYECTO</v>
      </c>
      <c r="X72" t="str">
        <v>CLIENTE-0001</v>
      </c>
      <c r="Y72" t="str">
        <v>MADRID</v>
      </c>
      <c r="Z72">
        <v>1500</v>
      </c>
      <c r="AA72">
        <v>44091</v>
      </c>
      <c r="AB72" t="str">
        <v>SI</v>
      </c>
      <c r="AE72">
        <v>436</v>
      </c>
      <c r="AF72" t="str">
        <v>DESARROLLO</v>
      </c>
      <c r="AG72" t="str">
        <v>CLIENTE-0004</v>
      </c>
      <c r="AH72" t="str">
        <v>MADRID</v>
      </c>
      <c r="AI72">
        <v>750</v>
      </c>
      <c r="AJ72">
        <v>44538</v>
      </c>
      <c r="AK72" t="str">
        <v>SI</v>
      </c>
      <c r="AN72">
        <v>70</v>
      </c>
      <c r="AO72" t="str">
        <v>DESARROLLO</v>
      </c>
      <c r="AP72" t="str">
        <v>CLIENTE-0010</v>
      </c>
      <c r="AQ72">
        <v>1200</v>
      </c>
      <c r="AR72" t="str">
        <v>SI</v>
      </c>
    </row>
    <row r="73" spans="1:44">
      <c r="A73" s="2">
        <v>72</v>
      </c>
      <c r="B73" t="s">
        <v>16</v>
      </c>
      <c r="C73" t="s">
        <v>14</v>
      </c>
      <c r="D73" t="s">
        <v>15</v>
      </c>
      <c r="E73" s="3">
        <v>750</v>
      </c>
      <c r="F73" s="4">
        <v>43977</v>
      </c>
      <c r="G73" s="2" t="s">
        <v>12</v>
      </c>
      <c r="N73">
        <v>771</v>
      </c>
      <c r="O73" t="str">
        <v>CONSULTORIA</v>
      </c>
      <c r="P73" t="str">
        <v>CLIENTE-0010</v>
      </c>
      <c r="Q73" t="str">
        <v>MADRID</v>
      </c>
      <c r="R73" s="10">
        <v>120</v>
      </c>
      <c r="S73">
        <v>43583</v>
      </c>
      <c r="T73" t="str">
        <v>NO</v>
      </c>
      <c r="V73">
        <v>173</v>
      </c>
      <c r="W73" t="str">
        <v>PROGRAMA</v>
      </c>
      <c r="X73" t="str">
        <v>CLIENTE-0003</v>
      </c>
      <c r="Y73" t="str">
        <v>MADRID</v>
      </c>
      <c r="Z73">
        <v>6500</v>
      </c>
      <c r="AA73">
        <v>44503</v>
      </c>
      <c r="AB73" t="str">
        <v>SI</v>
      </c>
      <c r="AE73">
        <v>502</v>
      </c>
      <c r="AF73" t="str">
        <v>DESARROLLO</v>
      </c>
      <c r="AG73" t="str">
        <v>CLIENTE-0005</v>
      </c>
      <c r="AH73" t="str">
        <v>BARCELONA</v>
      </c>
      <c r="AI73">
        <v>750</v>
      </c>
      <c r="AJ73">
        <v>44550</v>
      </c>
      <c r="AK73" t="str">
        <v>SI</v>
      </c>
      <c r="AN73">
        <v>71</v>
      </c>
      <c r="AO73" t="str">
        <v>PROYECTO</v>
      </c>
      <c r="AP73" t="str">
        <v>CLIENTE-0004</v>
      </c>
      <c r="AQ73">
        <v>800</v>
      </c>
      <c r="AR73" t="str">
        <v>SI</v>
      </c>
    </row>
    <row r="74" spans="1:44">
      <c r="A74" s="2">
        <v>73</v>
      </c>
      <c r="B74" t="s">
        <v>18</v>
      </c>
      <c r="C74" t="s">
        <v>14</v>
      </c>
      <c r="D74" t="s">
        <v>15</v>
      </c>
      <c r="E74" s="3">
        <v>4500</v>
      </c>
      <c r="F74" s="4">
        <v>44004</v>
      </c>
      <c r="G74" s="2" t="s">
        <v>12</v>
      </c>
      <c r="N74">
        <v>775</v>
      </c>
      <c r="O74" t="str">
        <v>PROGRAMA</v>
      </c>
      <c r="P74" t="str">
        <v>CLIENTE-0002</v>
      </c>
      <c r="Q74" t="str">
        <v>ALICANTE</v>
      </c>
      <c r="R74" s="10">
        <v>120</v>
      </c>
      <c r="S74">
        <v>44320</v>
      </c>
      <c r="T74" t="str">
        <v>NO</v>
      </c>
      <c r="V74">
        <v>174</v>
      </c>
      <c r="W74" t="str">
        <v>FORMACION</v>
      </c>
      <c r="X74" t="str">
        <v>CLIENTE-0004</v>
      </c>
      <c r="Y74" t="str">
        <v>MADRID</v>
      </c>
      <c r="Z74">
        <v>8500</v>
      </c>
      <c r="AA74">
        <v>44462</v>
      </c>
      <c r="AB74" t="str">
        <v>SI</v>
      </c>
      <c r="AE74">
        <v>281</v>
      </c>
      <c r="AF74" t="str">
        <v>DESARROLLO</v>
      </c>
      <c r="AG74" t="str">
        <v>CLIENTE-0005</v>
      </c>
      <c r="AH74" t="str">
        <v>BARCELONA</v>
      </c>
      <c r="AI74">
        <v>680</v>
      </c>
      <c r="AJ74">
        <v>43921</v>
      </c>
      <c r="AK74" t="str">
        <v>NO</v>
      </c>
      <c r="AN74">
        <v>72</v>
      </c>
      <c r="AO74" t="str">
        <v>EQUIPOS</v>
      </c>
      <c r="AP74" t="str">
        <v>CLIENTE-0005</v>
      </c>
      <c r="AQ74">
        <v>750</v>
      </c>
      <c r="AR74" t="str">
        <v>SI</v>
      </c>
    </row>
    <row r="75" spans="1:44">
      <c r="A75" s="2">
        <v>74</v>
      </c>
      <c r="B75" t="s">
        <v>20</v>
      </c>
      <c r="C75" t="s">
        <v>17</v>
      </c>
      <c r="D75" t="s">
        <v>15</v>
      </c>
      <c r="E75" s="3">
        <v>500</v>
      </c>
      <c r="F75" s="4">
        <v>44016</v>
      </c>
      <c r="G75" s="2" t="s">
        <v>12</v>
      </c>
      <c r="N75">
        <v>17</v>
      </c>
      <c r="O75" t="str">
        <v>DESARROLLO</v>
      </c>
      <c r="P75" t="str">
        <v>CLIENTE-0002</v>
      </c>
      <c r="Q75" t="str">
        <v>ALICANTE</v>
      </c>
      <c r="R75" s="10">
        <v>150</v>
      </c>
      <c r="S75">
        <v>43614</v>
      </c>
      <c r="T75" t="str">
        <v>NO</v>
      </c>
      <c r="V75">
        <v>180</v>
      </c>
      <c r="W75" t="str">
        <v>PROGRAMA</v>
      </c>
      <c r="X75" t="str">
        <v>CLIENTE-0010</v>
      </c>
      <c r="Y75" t="str">
        <v>MADRID</v>
      </c>
      <c r="Z75">
        <v>300</v>
      </c>
      <c r="AA75">
        <v>43601</v>
      </c>
      <c r="AB75" t="str">
        <v>NO</v>
      </c>
      <c r="AE75">
        <v>426</v>
      </c>
      <c r="AF75" t="str">
        <v>DESARROLLO</v>
      </c>
      <c r="AG75" t="str">
        <v>CLIENTE-0006</v>
      </c>
      <c r="AH75" t="str">
        <v>BARCELONA</v>
      </c>
      <c r="AI75">
        <v>680</v>
      </c>
      <c r="AJ75">
        <v>44218</v>
      </c>
      <c r="AK75" t="str">
        <v>SI</v>
      </c>
      <c r="AN75">
        <v>73</v>
      </c>
      <c r="AO75" t="str">
        <v>PROGRAMA</v>
      </c>
      <c r="AP75" t="str">
        <v>CLIENTE-0005</v>
      </c>
      <c r="AQ75">
        <v>4500</v>
      </c>
      <c r="AR75" t="str">
        <v>SI</v>
      </c>
    </row>
    <row r="76" spans="1:44">
      <c r="A76" s="2">
        <v>75</v>
      </c>
      <c r="B76" t="s">
        <v>22</v>
      </c>
      <c r="C76" t="s">
        <v>19</v>
      </c>
      <c r="D76" t="s">
        <v>15</v>
      </c>
      <c r="E76" s="3">
        <v>750</v>
      </c>
      <c r="F76" s="4">
        <v>44174</v>
      </c>
      <c r="G76" s="2" t="s">
        <v>12</v>
      </c>
      <c r="N76">
        <v>23</v>
      </c>
      <c r="O76" t="str">
        <v>DESARROLLO</v>
      </c>
      <c r="P76" t="str">
        <v>CLIENTE-0008</v>
      </c>
      <c r="Q76" t="str">
        <v>ALICANTE</v>
      </c>
      <c r="R76" s="10">
        <v>150</v>
      </c>
      <c r="S76">
        <v>44502</v>
      </c>
      <c r="T76" t="str">
        <v>SI</v>
      </c>
      <c r="V76">
        <v>181</v>
      </c>
      <c r="W76" t="str">
        <v>FORMACION</v>
      </c>
      <c r="X76" t="str">
        <v>CLIENTE-0004</v>
      </c>
      <c r="Y76" t="str">
        <v>MADRID</v>
      </c>
      <c r="Z76">
        <v>350</v>
      </c>
      <c r="AA76">
        <v>43893</v>
      </c>
      <c r="AB76" t="str">
        <v>NO</v>
      </c>
      <c r="AE76">
        <v>461</v>
      </c>
      <c r="AF76" t="str">
        <v>DESARROLLO</v>
      </c>
      <c r="AG76" t="str">
        <v>CLIENTE-0008</v>
      </c>
      <c r="AH76" t="str">
        <v>ALICANTE</v>
      </c>
      <c r="AI76">
        <v>680</v>
      </c>
      <c r="AJ76">
        <v>44448</v>
      </c>
      <c r="AK76" t="str">
        <v>SI</v>
      </c>
      <c r="AN76">
        <v>74</v>
      </c>
      <c r="AO76" t="str">
        <v>FORMACION</v>
      </c>
      <c r="AP76" t="str">
        <v>CLIENTE-0006</v>
      </c>
      <c r="AQ76">
        <v>500</v>
      </c>
      <c r="AR76" t="str">
        <v>SI</v>
      </c>
    </row>
    <row r="77" spans="1:44">
      <c r="A77" s="2">
        <v>76</v>
      </c>
      <c r="B77" t="s">
        <v>10</v>
      </c>
      <c r="C77" t="s">
        <v>23</v>
      </c>
      <c r="D77" t="s">
        <v>24</v>
      </c>
      <c r="E77" s="3">
        <v>950</v>
      </c>
      <c r="F77" s="4">
        <v>44101</v>
      </c>
      <c r="G77" s="2" t="s">
        <v>12</v>
      </c>
      <c r="N77">
        <v>40</v>
      </c>
      <c r="O77" t="str">
        <v>FORMACION</v>
      </c>
      <c r="P77" t="str">
        <v>CLIENTE-0005</v>
      </c>
      <c r="Q77" t="str">
        <v>BARCELONA</v>
      </c>
      <c r="R77" s="10">
        <v>150</v>
      </c>
      <c r="S77">
        <v>43783</v>
      </c>
      <c r="T77" t="str">
        <v>SI</v>
      </c>
      <c r="V77">
        <v>188</v>
      </c>
      <c r="W77" t="str">
        <v>CONSULTORIA</v>
      </c>
      <c r="X77" t="str">
        <v>CLIENTE-0010</v>
      </c>
      <c r="Y77" t="str">
        <v>MADRID</v>
      </c>
      <c r="Z77">
        <v>200</v>
      </c>
      <c r="AA77">
        <v>43561</v>
      </c>
      <c r="AB77" t="str">
        <v>SI</v>
      </c>
      <c r="AE77">
        <v>495</v>
      </c>
      <c r="AF77" t="str">
        <v>DESARROLLO</v>
      </c>
      <c r="AG77" t="str">
        <v>CLIENTE-0005</v>
      </c>
      <c r="AH77" t="str">
        <v>BARCELONA</v>
      </c>
      <c r="AI77">
        <v>680</v>
      </c>
      <c r="AJ77">
        <v>44416</v>
      </c>
      <c r="AK77" t="str">
        <v>SI</v>
      </c>
      <c r="AN77">
        <v>75</v>
      </c>
      <c r="AO77" t="str">
        <v>CONSULTORIA</v>
      </c>
      <c r="AP77" t="str">
        <v>CLIENTE-0007</v>
      </c>
      <c r="AQ77">
        <v>750</v>
      </c>
      <c r="AR77" t="str">
        <v>SI</v>
      </c>
    </row>
    <row r="78" spans="1:44">
      <c r="A78" s="2">
        <v>77</v>
      </c>
      <c r="B78" t="s">
        <v>13</v>
      </c>
      <c r="C78" t="s">
        <v>25</v>
      </c>
      <c r="D78" t="s">
        <v>24</v>
      </c>
      <c r="E78" s="3">
        <v>680</v>
      </c>
      <c r="F78" s="4">
        <v>43778</v>
      </c>
      <c r="G78" s="2" t="s">
        <v>12</v>
      </c>
      <c r="N78">
        <v>46</v>
      </c>
      <c r="O78" t="str">
        <v>FORMACION</v>
      </c>
      <c r="P78" t="str">
        <v>CLIENTE-0004</v>
      </c>
      <c r="Q78" t="str">
        <v>MADRID</v>
      </c>
      <c r="R78" s="10">
        <v>150</v>
      </c>
      <c r="S78">
        <v>44528</v>
      </c>
      <c r="T78" t="str">
        <v>NO</v>
      </c>
      <c r="V78">
        <v>189</v>
      </c>
      <c r="W78" t="str">
        <v>DESARROLLO</v>
      </c>
      <c r="X78" t="str">
        <v>CLIENTE-0001</v>
      </c>
      <c r="Y78" t="str">
        <v>MADRID</v>
      </c>
      <c r="Z78">
        <v>150</v>
      </c>
      <c r="AA78">
        <v>44303</v>
      </c>
      <c r="AB78" t="str">
        <v>SI</v>
      </c>
      <c r="AE78">
        <v>633</v>
      </c>
      <c r="AF78" t="str">
        <v>DESARROLLO</v>
      </c>
      <c r="AG78" t="str">
        <v>CLIENTE-0005</v>
      </c>
      <c r="AH78" t="str">
        <v>BARCELONA</v>
      </c>
      <c r="AI78">
        <v>680</v>
      </c>
      <c r="AJ78">
        <v>43476</v>
      </c>
      <c r="AK78" t="str">
        <v>SI</v>
      </c>
      <c r="AN78">
        <v>76</v>
      </c>
      <c r="AO78" t="str">
        <v>DESARROLLO</v>
      </c>
      <c r="AP78" t="str">
        <v>CLIENTE-0008</v>
      </c>
      <c r="AQ78">
        <v>950</v>
      </c>
      <c r="AR78" t="str">
        <v>SI</v>
      </c>
    </row>
    <row r="79" spans="1:44">
      <c r="A79" s="2">
        <v>78</v>
      </c>
      <c r="B79" t="s">
        <v>16</v>
      </c>
      <c r="C79" t="s">
        <v>26</v>
      </c>
      <c r="D79" t="s">
        <v>9</v>
      </c>
      <c r="E79" s="3">
        <v>950</v>
      </c>
      <c r="F79" s="4">
        <v>43796</v>
      </c>
      <c r="G79" s="2" t="s">
        <v>12</v>
      </c>
      <c r="N79">
        <v>51</v>
      </c>
      <c r="O79" t="str">
        <v>PROGRAMA</v>
      </c>
      <c r="P79" t="str">
        <v>CLIENTE-0004</v>
      </c>
      <c r="Q79" t="str">
        <v>MADRID</v>
      </c>
      <c r="R79" s="10">
        <v>150</v>
      </c>
      <c r="S79">
        <v>44007</v>
      </c>
      <c r="T79" t="str">
        <v>SI</v>
      </c>
      <c r="V79">
        <v>190</v>
      </c>
      <c r="W79" t="str">
        <v>PROYECTO</v>
      </c>
      <c r="X79" t="str">
        <v>CLIENTE-0010</v>
      </c>
      <c r="Y79" t="str">
        <v>MADRID</v>
      </c>
      <c r="Z79">
        <v>120</v>
      </c>
      <c r="AA79">
        <v>43715</v>
      </c>
      <c r="AB79" t="str">
        <v>SI</v>
      </c>
      <c r="AE79">
        <v>212</v>
      </c>
      <c r="AF79" t="str">
        <v>DESARROLLO</v>
      </c>
      <c r="AG79" t="str">
        <v>CLIENTE-0002</v>
      </c>
      <c r="AH79" t="str">
        <v>ALICANTE</v>
      </c>
      <c r="AI79">
        <v>500</v>
      </c>
      <c r="AJ79">
        <v>43600</v>
      </c>
      <c r="AK79" t="str">
        <v>NO</v>
      </c>
      <c r="AN79">
        <v>77</v>
      </c>
      <c r="AO79" t="str">
        <v>PROYECTO</v>
      </c>
      <c r="AP79" t="str">
        <v>CLIENTE-0009</v>
      </c>
      <c r="AQ79">
        <v>680</v>
      </c>
      <c r="AR79" t="str">
        <v>SI</v>
      </c>
    </row>
    <row r="80" spans="1:44">
      <c r="A80" s="2">
        <v>79</v>
      </c>
      <c r="B80" t="s">
        <v>18</v>
      </c>
      <c r="C80" t="s">
        <v>27</v>
      </c>
      <c r="D80" t="s">
        <v>9</v>
      </c>
      <c r="E80" s="3">
        <v>1500</v>
      </c>
      <c r="F80" s="4">
        <v>43634</v>
      </c>
      <c r="G80" s="2" t="s">
        <v>12</v>
      </c>
      <c r="N80">
        <v>57</v>
      </c>
      <c r="O80" t="str">
        <v>PROGRAMA</v>
      </c>
      <c r="P80" t="str">
        <v>CLIENTE-0009</v>
      </c>
      <c r="Q80" t="str">
        <v>ALICANTE</v>
      </c>
      <c r="R80" s="10">
        <v>150</v>
      </c>
      <c r="S80">
        <v>43503</v>
      </c>
      <c r="T80" t="str">
        <v>NO</v>
      </c>
      <c r="V80">
        <v>191</v>
      </c>
      <c r="W80" t="str">
        <v>EQUIPOS</v>
      </c>
      <c r="X80" t="str">
        <v>CLIENTE-0001</v>
      </c>
      <c r="Y80" t="str">
        <v>MADRID</v>
      </c>
      <c r="Z80">
        <v>300</v>
      </c>
      <c r="AA80">
        <v>44532</v>
      </c>
      <c r="AB80" t="str">
        <v>SI</v>
      </c>
      <c r="AE80">
        <v>312</v>
      </c>
      <c r="AF80" t="str">
        <v>DESARROLLO</v>
      </c>
      <c r="AG80" t="str">
        <v>CLIENTE-0003</v>
      </c>
      <c r="AH80" t="str">
        <v>MADRID</v>
      </c>
      <c r="AI80">
        <v>500</v>
      </c>
      <c r="AJ80">
        <v>44556</v>
      </c>
      <c r="AK80" t="str">
        <v>SI</v>
      </c>
      <c r="AN80">
        <v>78</v>
      </c>
      <c r="AO80" t="str">
        <v>EQUIPOS</v>
      </c>
      <c r="AP80" t="str">
        <v>CLIENTE-0010</v>
      </c>
      <c r="AQ80">
        <v>950</v>
      </c>
      <c r="AR80" t="str">
        <v>SI</v>
      </c>
    </row>
    <row r="81" spans="1:44">
      <c r="A81" s="2">
        <v>80</v>
      </c>
      <c r="B81" t="s">
        <v>20</v>
      </c>
      <c r="C81" t="s">
        <v>26</v>
      </c>
      <c r="D81" t="s">
        <v>9</v>
      </c>
      <c r="E81" s="3">
        <v>5000</v>
      </c>
      <c r="F81" s="4">
        <v>44287</v>
      </c>
      <c r="G81" s="2" t="s">
        <v>12</v>
      </c>
      <c r="N81">
        <v>86</v>
      </c>
      <c r="O81" t="str">
        <v>FORMACION</v>
      </c>
      <c r="P81" t="str">
        <v>CLIENTE-0006</v>
      </c>
      <c r="Q81" t="str">
        <v>BARCELONA</v>
      </c>
      <c r="R81" s="10">
        <v>150</v>
      </c>
      <c r="S81">
        <v>43855</v>
      </c>
      <c r="T81" t="str">
        <v>NO</v>
      </c>
      <c r="V81">
        <v>193</v>
      </c>
      <c r="W81" t="str">
        <v>DESARROLLO</v>
      </c>
      <c r="X81" t="str">
        <v>CLIENTE-0003</v>
      </c>
      <c r="Y81" t="str">
        <v>MADRID</v>
      </c>
      <c r="Z81">
        <v>300</v>
      </c>
      <c r="AA81">
        <v>43700</v>
      </c>
      <c r="AB81" t="str">
        <v>SI</v>
      </c>
      <c r="AE81">
        <v>324</v>
      </c>
      <c r="AF81" t="str">
        <v>DESARROLLO</v>
      </c>
      <c r="AG81" t="str">
        <v>CLIENTE-0007</v>
      </c>
      <c r="AH81" t="str">
        <v>BARCELONA</v>
      </c>
      <c r="AI81">
        <v>500</v>
      </c>
      <c r="AJ81">
        <v>44424</v>
      </c>
      <c r="AK81" t="str">
        <v>NO</v>
      </c>
      <c r="AN81">
        <v>79</v>
      </c>
      <c r="AO81" t="str">
        <v>PROGRAMA</v>
      </c>
      <c r="AP81" t="str">
        <v>CLIENTE-0001</v>
      </c>
      <c r="AQ81">
        <v>1500</v>
      </c>
      <c r="AR81" t="str">
        <v>SI</v>
      </c>
    </row>
    <row r="82" spans="1:44">
      <c r="A82" s="2">
        <v>81</v>
      </c>
      <c r="B82" t="s">
        <v>22</v>
      </c>
      <c r="C82" t="s">
        <v>27</v>
      </c>
      <c r="D82" t="s">
        <v>9</v>
      </c>
      <c r="E82" s="3">
        <v>6500</v>
      </c>
      <c r="F82" s="4">
        <v>44485</v>
      </c>
      <c r="G82" s="2" t="s">
        <v>12</v>
      </c>
      <c r="N82">
        <v>92</v>
      </c>
      <c r="O82" t="str">
        <v>PROGRAMA</v>
      </c>
      <c r="P82" t="str">
        <v>CLIENTE-0005</v>
      </c>
      <c r="Q82" t="str">
        <v>BARCELONA</v>
      </c>
      <c r="R82" s="10">
        <v>150</v>
      </c>
      <c r="S82">
        <v>44543</v>
      </c>
      <c r="T82" t="str">
        <v>SI</v>
      </c>
      <c r="V82">
        <v>194</v>
      </c>
      <c r="W82" t="str">
        <v>PROYECTO</v>
      </c>
      <c r="X82" t="str">
        <v>CLIENTE-0004</v>
      </c>
      <c r="Y82" t="str">
        <v>MADRID</v>
      </c>
      <c r="Z82">
        <v>120</v>
      </c>
      <c r="AA82">
        <v>44478</v>
      </c>
      <c r="AB82" t="str">
        <v>SI</v>
      </c>
      <c r="AE82">
        <v>527</v>
      </c>
      <c r="AF82" t="str">
        <v>DESARROLLO</v>
      </c>
      <c r="AG82" t="str">
        <v>CLIENTE-0005</v>
      </c>
      <c r="AH82" t="str">
        <v>BARCELONA</v>
      </c>
      <c r="AI82">
        <v>500</v>
      </c>
      <c r="AJ82">
        <v>43836</v>
      </c>
      <c r="AK82" t="str">
        <v>SI</v>
      </c>
      <c r="AN82">
        <v>80</v>
      </c>
      <c r="AO82" t="str">
        <v>FORMACION</v>
      </c>
      <c r="AP82" t="str">
        <v>CLIENTE-0010</v>
      </c>
      <c r="AQ82">
        <v>5000</v>
      </c>
      <c r="AR82" t="str">
        <v>SI</v>
      </c>
    </row>
    <row r="83" spans="1:44">
      <c r="A83" s="2">
        <v>82</v>
      </c>
      <c r="B83" t="s">
        <v>10</v>
      </c>
      <c r="C83" t="s">
        <v>29</v>
      </c>
      <c r="D83" t="s">
        <v>24</v>
      </c>
      <c r="E83" s="3">
        <v>8500</v>
      </c>
      <c r="F83" s="4">
        <v>43717</v>
      </c>
      <c r="G83" s="2" t="s">
        <v>12</v>
      </c>
      <c r="N83">
        <v>109</v>
      </c>
      <c r="O83" t="str">
        <v>FORMACION</v>
      </c>
      <c r="P83" t="str">
        <v>CLIENTE-0004</v>
      </c>
      <c r="Q83" t="str">
        <v>MADRID</v>
      </c>
      <c r="R83" s="10">
        <v>150</v>
      </c>
      <c r="S83">
        <v>43538</v>
      </c>
      <c r="T83" t="str">
        <v>SI</v>
      </c>
      <c r="V83">
        <v>200</v>
      </c>
      <c r="W83" t="str">
        <v>PROYECTO</v>
      </c>
      <c r="X83" t="str">
        <v>CLIENTE-0010</v>
      </c>
      <c r="Y83" t="str">
        <v>MADRID</v>
      </c>
      <c r="Z83">
        <v>500</v>
      </c>
      <c r="AA83">
        <v>43583</v>
      </c>
      <c r="AB83" t="str">
        <v>SI</v>
      </c>
      <c r="AE83">
        <v>561</v>
      </c>
      <c r="AF83" t="str">
        <v>DESARROLLO</v>
      </c>
      <c r="AG83" t="str">
        <v>CLIENTE-0006</v>
      </c>
      <c r="AH83" t="str">
        <v>BARCELONA</v>
      </c>
      <c r="AI83">
        <v>500</v>
      </c>
      <c r="AJ83">
        <v>43641</v>
      </c>
      <c r="AK83" t="str">
        <v>SI</v>
      </c>
      <c r="AN83">
        <v>81</v>
      </c>
      <c r="AO83" t="str">
        <v>CONSULTORIA</v>
      </c>
      <c r="AP83" t="str">
        <v>CLIENTE-0001</v>
      </c>
      <c r="AQ83">
        <v>6500</v>
      </c>
      <c r="AR83" t="str">
        <v>SI</v>
      </c>
    </row>
    <row r="84" spans="1:44">
      <c r="A84" s="2">
        <v>83</v>
      </c>
      <c r="B84" t="s">
        <v>13</v>
      </c>
      <c r="C84" t="s">
        <v>21</v>
      </c>
      <c r="D84" t="s">
        <v>9</v>
      </c>
      <c r="E84" s="3">
        <v>1200</v>
      </c>
      <c r="F84" s="4">
        <v>44191</v>
      </c>
      <c r="G84" s="2" t="s">
        <v>12</v>
      </c>
      <c r="N84">
        <v>115</v>
      </c>
      <c r="O84" t="str">
        <v>PROYECTO</v>
      </c>
      <c r="P84" t="str">
        <v>CLIENTE-0010</v>
      </c>
      <c r="Q84" t="str">
        <v>MADRID</v>
      </c>
      <c r="R84" s="10">
        <v>150</v>
      </c>
      <c r="S84">
        <v>44007</v>
      </c>
      <c r="T84" t="str">
        <v>NO</v>
      </c>
      <c r="V84">
        <v>201</v>
      </c>
      <c r="W84" t="str">
        <v>EQUIPOS</v>
      </c>
      <c r="X84" t="str">
        <v>CLIENTE-0004</v>
      </c>
      <c r="Y84" t="str">
        <v>MADRID</v>
      </c>
      <c r="Z84">
        <v>750</v>
      </c>
      <c r="AA84">
        <v>44437</v>
      </c>
      <c r="AB84" t="str">
        <v>SI</v>
      </c>
      <c r="AE84">
        <v>573</v>
      </c>
      <c r="AF84" t="str">
        <v>DESARROLLO</v>
      </c>
      <c r="AG84" t="str">
        <v>CLIENTE-0010</v>
      </c>
      <c r="AH84" t="str">
        <v>MADRID</v>
      </c>
      <c r="AI84">
        <v>500</v>
      </c>
      <c r="AJ84">
        <v>44089</v>
      </c>
      <c r="AK84" t="str">
        <v>SI</v>
      </c>
      <c r="AN84">
        <v>82</v>
      </c>
      <c r="AO84" t="str">
        <v>DESARROLLO</v>
      </c>
      <c r="AP84" t="str">
        <v>CLIENTE-0002</v>
      </c>
      <c r="AQ84">
        <v>8500</v>
      </c>
      <c r="AR84" t="str">
        <v>SI</v>
      </c>
    </row>
    <row r="85" spans="1:44">
      <c r="A85" s="2">
        <v>84</v>
      </c>
      <c r="B85" t="s">
        <v>16</v>
      </c>
      <c r="C85" t="s">
        <v>11</v>
      </c>
      <c r="D85" t="s">
        <v>9</v>
      </c>
      <c r="E85" s="3">
        <v>300</v>
      </c>
      <c r="F85" s="4">
        <v>43657</v>
      </c>
      <c r="G85" s="2" t="s">
        <v>28</v>
      </c>
      <c r="N85">
        <v>120</v>
      </c>
      <c r="O85" t="str">
        <v>DESARROLLO</v>
      </c>
      <c r="P85" t="str">
        <v>CLIENTE-0007</v>
      </c>
      <c r="Q85" t="str">
        <v>BARCELONA</v>
      </c>
      <c r="R85" s="10">
        <v>150</v>
      </c>
      <c r="S85">
        <v>44133</v>
      </c>
      <c r="T85" t="str">
        <v>SI</v>
      </c>
      <c r="V85">
        <v>208</v>
      </c>
      <c r="W85" t="str">
        <v>DESARROLLO</v>
      </c>
      <c r="X85" t="str">
        <v>CLIENTE-0010</v>
      </c>
      <c r="Y85" t="str">
        <v>MADRID</v>
      </c>
      <c r="Z85">
        <v>1200</v>
      </c>
      <c r="AA85">
        <v>43960</v>
      </c>
      <c r="AB85" t="str">
        <v>SI</v>
      </c>
      <c r="AE85">
        <v>596</v>
      </c>
      <c r="AF85" t="str">
        <v>DESARROLLO</v>
      </c>
      <c r="AG85" t="str">
        <v>CLIENTE-0001</v>
      </c>
      <c r="AH85" t="str">
        <v>MADRID</v>
      </c>
      <c r="AI85">
        <v>500</v>
      </c>
      <c r="AJ85">
        <v>43853</v>
      </c>
      <c r="AK85" t="str">
        <v>SI</v>
      </c>
      <c r="AN85">
        <v>83</v>
      </c>
      <c r="AO85" t="str">
        <v>PROYECTO</v>
      </c>
      <c r="AP85" t="str">
        <v>CLIENTE-0003</v>
      </c>
      <c r="AQ85">
        <v>1200</v>
      </c>
      <c r="AR85" t="str">
        <v>SI</v>
      </c>
    </row>
    <row r="86" spans="1:44">
      <c r="A86" s="2">
        <v>85</v>
      </c>
      <c r="B86" t="s">
        <v>18</v>
      </c>
      <c r="C86" t="s">
        <v>14</v>
      </c>
      <c r="D86" t="s">
        <v>15</v>
      </c>
      <c r="E86" s="3">
        <v>200</v>
      </c>
      <c r="F86" s="4">
        <v>43518</v>
      </c>
      <c r="G86" s="2" t="s">
        <v>28</v>
      </c>
      <c r="N86">
        <v>126</v>
      </c>
      <c r="O86" t="str">
        <v>EQUIPOS</v>
      </c>
      <c r="P86" t="str">
        <v>CLIENTE-0001</v>
      </c>
      <c r="Q86" t="str">
        <v>MADRID</v>
      </c>
      <c r="R86" s="10">
        <v>150</v>
      </c>
      <c r="S86">
        <v>43470</v>
      </c>
      <c r="T86" t="str">
        <v>SI</v>
      </c>
      <c r="V86">
        <v>209</v>
      </c>
      <c r="W86" t="str">
        <v>PROYECTO</v>
      </c>
      <c r="X86" t="str">
        <v>CLIENTE-0001</v>
      </c>
      <c r="Y86" t="str">
        <v>MADRID</v>
      </c>
      <c r="Z86">
        <v>800</v>
      </c>
      <c r="AA86">
        <v>43962</v>
      </c>
      <c r="AB86" t="str">
        <v>NO</v>
      </c>
      <c r="AE86">
        <v>747</v>
      </c>
      <c r="AF86" t="str">
        <v>DESARROLLO</v>
      </c>
      <c r="AG86" t="str">
        <v>CLIENTE-0006</v>
      </c>
      <c r="AH86" t="str">
        <v>BARCELONA</v>
      </c>
      <c r="AI86">
        <v>500</v>
      </c>
      <c r="AJ86">
        <v>43698</v>
      </c>
      <c r="AK86" t="str">
        <v>SI</v>
      </c>
      <c r="AN86">
        <v>84</v>
      </c>
      <c r="AO86" t="str">
        <v>EQUIPOS</v>
      </c>
      <c r="AP86" t="str">
        <v>CLIENTE-0004</v>
      </c>
      <c r="AQ86">
        <v>300</v>
      </c>
      <c r="AR86" t="str">
        <v>NO</v>
      </c>
    </row>
    <row r="87" spans="1:44">
      <c r="A87" s="2">
        <v>86</v>
      </c>
      <c r="B87" t="s">
        <v>20</v>
      </c>
      <c r="C87" t="s">
        <v>17</v>
      </c>
      <c r="D87" t="s">
        <v>15</v>
      </c>
      <c r="E87" s="3">
        <v>150</v>
      </c>
      <c r="F87" s="4">
        <v>43855</v>
      </c>
      <c r="G87" s="2" t="s">
        <v>28</v>
      </c>
      <c r="N87">
        <v>155</v>
      </c>
      <c r="O87" t="str">
        <v>PROYECTO</v>
      </c>
      <c r="P87" t="str">
        <v>CLIENTE-0005</v>
      </c>
      <c r="Q87" t="str">
        <v>BARCELONA</v>
      </c>
      <c r="R87" s="10">
        <v>150</v>
      </c>
      <c r="S87">
        <v>44222</v>
      </c>
      <c r="T87" t="str">
        <v>NO</v>
      </c>
      <c r="V87">
        <v>210</v>
      </c>
      <c r="W87" t="str">
        <v>EQUIPOS</v>
      </c>
      <c r="X87" t="str">
        <v>CLIENTE-0010</v>
      </c>
      <c r="Y87" t="str">
        <v>MADRID</v>
      </c>
      <c r="Z87">
        <v>750</v>
      </c>
      <c r="AA87">
        <v>44069</v>
      </c>
      <c r="AB87" t="str">
        <v>NO</v>
      </c>
      <c r="AE87">
        <v>54</v>
      </c>
      <c r="AF87" t="str">
        <v>DESARROLLO</v>
      </c>
      <c r="AG87" t="str">
        <v>CLIENTE-0006</v>
      </c>
      <c r="AH87" t="str">
        <v>BARCELONA</v>
      </c>
      <c r="AI87">
        <v>350</v>
      </c>
      <c r="AJ87">
        <v>44546</v>
      </c>
      <c r="AK87" t="str">
        <v>SI</v>
      </c>
      <c r="AN87">
        <v>85</v>
      </c>
      <c r="AO87" t="str">
        <v>PROGRAMA</v>
      </c>
      <c r="AP87" t="str">
        <v>CLIENTE-0005</v>
      </c>
      <c r="AQ87">
        <v>200</v>
      </c>
      <c r="AR87" t="str">
        <v>NO</v>
      </c>
    </row>
    <row r="88" spans="1:44">
      <c r="A88" s="2">
        <v>87</v>
      </c>
      <c r="B88" t="s">
        <v>22</v>
      </c>
      <c r="C88" t="s">
        <v>19</v>
      </c>
      <c r="D88" t="s">
        <v>15</v>
      </c>
      <c r="E88" s="3">
        <v>120</v>
      </c>
      <c r="F88" s="4">
        <v>44113</v>
      </c>
      <c r="G88" s="2" t="s">
        <v>28</v>
      </c>
      <c r="N88">
        <v>161</v>
      </c>
      <c r="O88" t="str">
        <v>PROGRAMA</v>
      </c>
      <c r="P88" t="str">
        <v>CLIENTE-0004</v>
      </c>
      <c r="Q88" t="str">
        <v>MADRID</v>
      </c>
      <c r="R88" s="10">
        <v>150</v>
      </c>
      <c r="S88">
        <v>43919</v>
      </c>
      <c r="T88" t="str">
        <v>SI</v>
      </c>
      <c r="V88">
        <v>211</v>
      </c>
      <c r="W88" t="str">
        <v>CONSULTORIA</v>
      </c>
      <c r="X88" t="str">
        <v>CLIENTE-0001</v>
      </c>
      <c r="Y88" t="str">
        <v>MADRID</v>
      </c>
      <c r="Z88">
        <v>4500</v>
      </c>
      <c r="AA88">
        <v>43560</v>
      </c>
      <c r="AB88" t="str">
        <v>NO</v>
      </c>
      <c r="AE88">
        <v>89</v>
      </c>
      <c r="AF88" t="str">
        <v>DESARROLLO</v>
      </c>
      <c r="AG88" t="str">
        <v>CLIENTE-0009</v>
      </c>
      <c r="AH88" t="str">
        <v>ALICANTE</v>
      </c>
      <c r="AI88">
        <v>350</v>
      </c>
      <c r="AJ88">
        <v>43727</v>
      </c>
      <c r="AK88" t="str">
        <v>NO</v>
      </c>
      <c r="AN88">
        <v>86</v>
      </c>
      <c r="AO88" t="str">
        <v>FORMACION</v>
      </c>
      <c r="AP88" t="str">
        <v>CLIENTE-0006</v>
      </c>
      <c r="AQ88">
        <v>150</v>
      </c>
      <c r="AR88" t="str">
        <v>NO</v>
      </c>
    </row>
    <row r="89" spans="1:44">
      <c r="A89" s="2">
        <v>88</v>
      </c>
      <c r="B89" t="s">
        <v>10</v>
      </c>
      <c r="C89" t="s">
        <v>23</v>
      </c>
      <c r="D89" t="s">
        <v>24</v>
      </c>
      <c r="E89" s="3">
        <v>300</v>
      </c>
      <c r="F89" s="4">
        <v>44327</v>
      </c>
      <c r="G89" s="2" t="s">
        <v>28</v>
      </c>
      <c r="N89">
        <v>178</v>
      </c>
      <c r="O89" t="str">
        <v>PROYECTO</v>
      </c>
      <c r="P89" t="str">
        <v>CLIENTE-0008</v>
      </c>
      <c r="Q89" t="str">
        <v>ALICANTE</v>
      </c>
      <c r="R89" s="10">
        <v>150</v>
      </c>
      <c r="S89">
        <v>44166</v>
      </c>
      <c r="T89" t="str">
        <v>SI</v>
      </c>
      <c r="V89">
        <v>213</v>
      </c>
      <c r="W89" t="str">
        <v>PROYECTO</v>
      </c>
      <c r="X89" t="str">
        <v>CLIENTE-0003</v>
      </c>
      <c r="Y89" t="str">
        <v>MADRID</v>
      </c>
      <c r="Z89">
        <v>750</v>
      </c>
      <c r="AA89">
        <v>44170</v>
      </c>
      <c r="AB89" t="str">
        <v>NO</v>
      </c>
      <c r="AE89">
        <v>158</v>
      </c>
      <c r="AF89" t="str">
        <v>DESARROLLO</v>
      </c>
      <c r="AG89" t="str">
        <v>CLIENTE-0008</v>
      </c>
      <c r="AH89" t="str">
        <v>ALICANTE</v>
      </c>
      <c r="AI89">
        <v>350</v>
      </c>
      <c r="AJ89">
        <v>44283</v>
      </c>
      <c r="AK89" t="str">
        <v>NO</v>
      </c>
      <c r="AN89">
        <v>87</v>
      </c>
      <c r="AO89" t="str">
        <v>CONSULTORIA</v>
      </c>
      <c r="AP89" t="str">
        <v>CLIENTE-0007</v>
      </c>
      <c r="AQ89">
        <v>120</v>
      </c>
      <c r="AR89" t="str">
        <v>NO</v>
      </c>
    </row>
    <row r="90" spans="1:44">
      <c r="A90" s="2">
        <v>89</v>
      </c>
      <c r="B90" t="s">
        <v>10</v>
      </c>
      <c r="C90" t="s">
        <v>25</v>
      </c>
      <c r="D90" t="s">
        <v>24</v>
      </c>
      <c r="E90" s="3">
        <v>350</v>
      </c>
      <c r="F90" s="4">
        <v>43727</v>
      </c>
      <c r="G90" s="2" t="s">
        <v>28</v>
      </c>
      <c r="N90">
        <v>184</v>
      </c>
      <c r="O90" t="str">
        <v>PROYECTO</v>
      </c>
      <c r="P90" t="str">
        <v>CLIENTE-0006</v>
      </c>
      <c r="Q90" t="str">
        <v>BARCELONA</v>
      </c>
      <c r="R90" s="10">
        <v>150</v>
      </c>
      <c r="S90">
        <v>43673</v>
      </c>
      <c r="T90" t="str">
        <v>NO</v>
      </c>
      <c r="V90">
        <v>214</v>
      </c>
      <c r="W90" t="str">
        <v>EQUIPOS</v>
      </c>
      <c r="X90" t="str">
        <v>CLIENTE-0004</v>
      </c>
      <c r="Y90" t="str">
        <v>MADRID</v>
      </c>
      <c r="Z90">
        <v>950</v>
      </c>
      <c r="AA90">
        <v>44121</v>
      </c>
      <c r="AB90" t="str">
        <v>NO</v>
      </c>
      <c r="AE90">
        <v>373</v>
      </c>
      <c r="AF90" t="str">
        <v>DESARROLLO</v>
      </c>
      <c r="AG90" t="str">
        <v>CLIENTE-0001</v>
      </c>
      <c r="AH90" t="str">
        <v>MADRID</v>
      </c>
      <c r="AI90">
        <v>350</v>
      </c>
      <c r="AJ90">
        <v>43548</v>
      </c>
      <c r="AK90" t="str">
        <v>SI</v>
      </c>
      <c r="AN90">
        <v>88</v>
      </c>
      <c r="AO90" t="str">
        <v>DESARROLLO</v>
      </c>
      <c r="AP90" t="str">
        <v>CLIENTE-0008</v>
      </c>
      <c r="AQ90">
        <v>300</v>
      </c>
      <c r="AR90" t="str">
        <v>NO</v>
      </c>
    </row>
    <row r="91" spans="1:44">
      <c r="A91" s="2">
        <v>90</v>
      </c>
      <c r="B91" t="s">
        <v>13</v>
      </c>
      <c r="C91" t="s">
        <v>26</v>
      </c>
      <c r="D91" t="s">
        <v>9</v>
      </c>
      <c r="E91" s="3">
        <v>300</v>
      </c>
      <c r="F91" s="4">
        <v>43675</v>
      </c>
      <c r="G91" s="2" t="s">
        <v>28</v>
      </c>
      <c r="N91">
        <v>189</v>
      </c>
      <c r="O91" t="str">
        <v>DESARROLLO</v>
      </c>
      <c r="P91" t="str">
        <v>CLIENTE-0001</v>
      </c>
      <c r="Q91" t="str">
        <v>MADRID</v>
      </c>
      <c r="R91" s="10">
        <v>150</v>
      </c>
      <c r="S91">
        <v>44303</v>
      </c>
      <c r="T91" t="str">
        <v>SI</v>
      </c>
      <c r="V91">
        <v>220</v>
      </c>
      <c r="W91" t="str">
        <v>EQUIPOS</v>
      </c>
      <c r="X91" t="str">
        <v>CLIENTE-0010</v>
      </c>
      <c r="Y91" t="str">
        <v>MADRID</v>
      </c>
      <c r="Z91">
        <v>8500</v>
      </c>
      <c r="AA91">
        <v>44494</v>
      </c>
      <c r="AB91" t="str">
        <v>SI</v>
      </c>
      <c r="AE91">
        <v>473</v>
      </c>
      <c r="AF91" t="str">
        <v>DESARROLLO</v>
      </c>
      <c r="AG91" t="str">
        <v>CLIENTE-0008</v>
      </c>
      <c r="AH91" t="str">
        <v>ALICANTE</v>
      </c>
      <c r="AI91">
        <v>350</v>
      </c>
      <c r="AJ91">
        <v>44424</v>
      </c>
      <c r="AK91" t="str">
        <v>SI</v>
      </c>
      <c r="AN91">
        <v>89</v>
      </c>
      <c r="AO91" t="str">
        <v>DESARROLLO</v>
      </c>
      <c r="AP91" t="str">
        <v>CLIENTE-0009</v>
      </c>
      <c r="AQ91">
        <v>350</v>
      </c>
      <c r="AR91" t="str">
        <v>NO</v>
      </c>
    </row>
    <row r="92" spans="1:44">
      <c r="A92" s="2">
        <v>91</v>
      </c>
      <c r="B92" t="s">
        <v>16</v>
      </c>
      <c r="C92" t="s">
        <v>11</v>
      </c>
      <c r="D92" t="s">
        <v>9</v>
      </c>
      <c r="E92" s="3">
        <v>120</v>
      </c>
      <c r="F92" s="4">
        <v>43720</v>
      </c>
      <c r="G92" s="2" t="s">
        <v>12</v>
      </c>
      <c r="N92">
        <v>195</v>
      </c>
      <c r="O92" t="str">
        <v>EQUIPOS</v>
      </c>
      <c r="P92" t="str">
        <v>CLIENTE-0005</v>
      </c>
      <c r="Q92" t="str">
        <v>BARCELONA</v>
      </c>
      <c r="R92" s="10">
        <v>150</v>
      </c>
      <c r="S92">
        <v>44438</v>
      </c>
      <c r="T92" t="str">
        <v>SI</v>
      </c>
      <c r="V92">
        <v>221</v>
      </c>
      <c r="W92" t="str">
        <v>PROGRAMA</v>
      </c>
      <c r="X92" t="str">
        <v>CLIENTE-0004</v>
      </c>
      <c r="Y92" t="str">
        <v>MADRID</v>
      </c>
      <c r="Z92">
        <v>1200</v>
      </c>
      <c r="AA92">
        <v>44418</v>
      </c>
      <c r="AB92" t="str">
        <v>SI</v>
      </c>
      <c r="AE92">
        <v>611</v>
      </c>
      <c r="AF92" t="str">
        <v>DESARROLLO</v>
      </c>
      <c r="AG92" t="str">
        <v>CLIENTE-0004</v>
      </c>
      <c r="AH92" t="str">
        <v>MADRID</v>
      </c>
      <c r="AI92">
        <v>350</v>
      </c>
      <c r="AJ92">
        <v>43742</v>
      </c>
      <c r="AK92" t="str">
        <v>SI</v>
      </c>
      <c r="AN92">
        <v>90</v>
      </c>
      <c r="AO92" t="str">
        <v>PROYECTO</v>
      </c>
      <c r="AP92" t="str">
        <v>CLIENTE-0010</v>
      </c>
      <c r="AQ92">
        <v>300</v>
      </c>
      <c r="AR92" t="str">
        <v>NO</v>
      </c>
    </row>
    <row r="93" spans="1:44">
      <c r="A93" s="2">
        <v>92</v>
      </c>
      <c r="B93" t="s">
        <v>18</v>
      </c>
      <c r="C93" t="s">
        <v>14</v>
      </c>
      <c r="D93" t="s">
        <v>15</v>
      </c>
      <c r="E93" s="3">
        <v>150</v>
      </c>
      <c r="F93" s="4">
        <v>44543</v>
      </c>
      <c r="G93" s="2" t="s">
        <v>12</v>
      </c>
      <c r="N93">
        <v>224</v>
      </c>
      <c r="O93" t="str">
        <v>DESARROLLO</v>
      </c>
      <c r="P93" t="str">
        <v>CLIENTE-0007</v>
      </c>
      <c r="Q93" t="str">
        <v>BARCELONA</v>
      </c>
      <c r="R93" s="10">
        <v>150</v>
      </c>
      <c r="S93">
        <v>43873</v>
      </c>
      <c r="T93" t="str">
        <v>NO</v>
      </c>
      <c r="V93">
        <v>225</v>
      </c>
      <c r="W93" t="str">
        <v>PROYECTO</v>
      </c>
      <c r="X93" t="str">
        <v>CLIENTE-0003</v>
      </c>
      <c r="Y93" t="str">
        <v>MADRID</v>
      </c>
      <c r="Z93">
        <v>120</v>
      </c>
      <c r="AA93">
        <v>44422</v>
      </c>
      <c r="AB93" t="str">
        <v>NO</v>
      </c>
      <c r="AE93">
        <v>655</v>
      </c>
      <c r="AF93" t="str">
        <v>DESARROLLO</v>
      </c>
      <c r="AG93" t="str">
        <v>CLIENTE-0001</v>
      </c>
      <c r="AH93" t="str">
        <v>MADRID</v>
      </c>
      <c r="AI93">
        <v>350</v>
      </c>
      <c r="AJ93">
        <v>43961</v>
      </c>
      <c r="AK93" t="str">
        <v>SI</v>
      </c>
      <c r="AN93">
        <v>91</v>
      </c>
      <c r="AO93" t="str">
        <v>EQUIPOS</v>
      </c>
      <c r="AP93" t="str">
        <v>CLIENTE-0004</v>
      </c>
      <c r="AQ93">
        <v>120</v>
      </c>
      <c r="AR93" t="str">
        <v>SI</v>
      </c>
    </row>
    <row r="94" spans="1:44">
      <c r="A94" s="2">
        <v>93</v>
      </c>
      <c r="B94" t="s">
        <v>20</v>
      </c>
      <c r="C94" t="s">
        <v>17</v>
      </c>
      <c r="D94" t="s">
        <v>15</v>
      </c>
      <c r="E94" s="3">
        <v>1200</v>
      </c>
      <c r="F94" s="4">
        <v>44020</v>
      </c>
      <c r="G94" s="2" t="s">
        <v>12</v>
      </c>
      <c r="N94">
        <v>230</v>
      </c>
      <c r="O94" t="str">
        <v>DESARROLLO</v>
      </c>
      <c r="P94" t="str">
        <v>CLIENTE-0007</v>
      </c>
      <c r="Q94" t="str">
        <v>BARCELONA</v>
      </c>
      <c r="R94" s="10">
        <v>150</v>
      </c>
      <c r="S94">
        <v>44023</v>
      </c>
      <c r="T94" t="str">
        <v>SI</v>
      </c>
      <c r="V94">
        <v>226</v>
      </c>
      <c r="W94" t="str">
        <v>EQUIPOS</v>
      </c>
      <c r="X94" t="str">
        <v>CLIENTE-0004</v>
      </c>
      <c r="Y94" t="str">
        <v>MADRID</v>
      </c>
      <c r="Z94">
        <v>300</v>
      </c>
      <c r="AA94">
        <v>43777</v>
      </c>
      <c r="AB94" t="str">
        <v>NO</v>
      </c>
      <c r="AE94">
        <v>674</v>
      </c>
      <c r="AF94" t="str">
        <v>DESARROLLO</v>
      </c>
      <c r="AG94" t="str">
        <v>CLIENTE-0007</v>
      </c>
      <c r="AH94" t="str">
        <v>BARCELONA</v>
      </c>
      <c r="AI94">
        <v>350</v>
      </c>
      <c r="AJ94">
        <v>44342</v>
      </c>
      <c r="AK94" t="str">
        <v>NO</v>
      </c>
      <c r="AN94">
        <v>92</v>
      </c>
      <c r="AO94" t="str">
        <v>PROGRAMA</v>
      </c>
      <c r="AP94" t="str">
        <v>CLIENTE-0005</v>
      </c>
      <c r="AQ94">
        <v>150</v>
      </c>
      <c r="AR94" t="str">
        <v>SI</v>
      </c>
    </row>
    <row r="95" spans="1:44">
      <c r="A95" s="2">
        <v>94</v>
      </c>
      <c r="B95" t="s">
        <v>22</v>
      </c>
      <c r="C95" t="s">
        <v>19</v>
      </c>
      <c r="D95" t="s">
        <v>15</v>
      </c>
      <c r="E95" s="3">
        <v>800</v>
      </c>
      <c r="F95" s="4">
        <v>44031</v>
      </c>
      <c r="G95" s="2" t="s">
        <v>12</v>
      </c>
      <c r="N95">
        <v>247</v>
      </c>
      <c r="O95" t="str">
        <v>PROYECTO</v>
      </c>
      <c r="P95" t="str">
        <v>CLIENTE-0005</v>
      </c>
      <c r="Q95" t="str">
        <v>BARCELONA</v>
      </c>
      <c r="R95" s="10">
        <v>150</v>
      </c>
      <c r="S95">
        <v>43778</v>
      </c>
      <c r="T95" t="str">
        <v>SI</v>
      </c>
      <c r="V95">
        <v>233</v>
      </c>
      <c r="W95" t="str">
        <v>PROGRAMA</v>
      </c>
      <c r="X95" t="str">
        <v>CLIENTE-0010</v>
      </c>
      <c r="Y95" t="str">
        <v>MADRID</v>
      </c>
      <c r="Z95">
        <v>750</v>
      </c>
      <c r="AA95">
        <v>44527</v>
      </c>
      <c r="AB95" t="str">
        <v>SI</v>
      </c>
      <c r="AE95">
        <v>708</v>
      </c>
      <c r="AF95" t="str">
        <v>DESARROLLO</v>
      </c>
      <c r="AG95" t="str">
        <v>CLIENTE-0008</v>
      </c>
      <c r="AH95" t="str">
        <v>ALICANTE</v>
      </c>
      <c r="AI95">
        <v>350</v>
      </c>
      <c r="AJ95">
        <v>43905</v>
      </c>
      <c r="AK95" t="str">
        <v>SI</v>
      </c>
      <c r="AN95">
        <v>93</v>
      </c>
      <c r="AO95" t="str">
        <v>FORMACION</v>
      </c>
      <c r="AP95" t="str">
        <v>CLIENTE-0006</v>
      </c>
      <c r="AQ95">
        <v>1200</v>
      </c>
      <c r="AR95" t="str">
        <v>SI</v>
      </c>
    </row>
    <row r="96" spans="1:44">
      <c r="A96" s="2">
        <v>95</v>
      </c>
      <c r="B96" t="s">
        <v>10</v>
      </c>
      <c r="C96" t="s">
        <v>21</v>
      </c>
      <c r="D96" t="s">
        <v>9</v>
      </c>
      <c r="E96" s="3">
        <v>750</v>
      </c>
      <c r="F96" s="4">
        <v>44127</v>
      </c>
      <c r="G96" s="2" t="s">
        <v>12</v>
      </c>
      <c r="N96">
        <v>253</v>
      </c>
      <c r="O96" t="str">
        <v>PROYECTO</v>
      </c>
      <c r="P96" t="str">
        <v>CLIENTE-0010</v>
      </c>
      <c r="Q96" t="str">
        <v>MADRID</v>
      </c>
      <c r="R96" s="10">
        <v>150</v>
      </c>
      <c r="S96">
        <v>43528</v>
      </c>
      <c r="T96" t="str">
        <v>NO</v>
      </c>
      <c r="V96">
        <v>234</v>
      </c>
      <c r="W96" t="str">
        <v>FORMACION</v>
      </c>
      <c r="X96" t="str">
        <v>CLIENTE-0001</v>
      </c>
      <c r="Y96" t="str">
        <v>MADRID</v>
      </c>
      <c r="Z96">
        <v>4500</v>
      </c>
      <c r="AA96">
        <v>43935</v>
      </c>
      <c r="AB96" t="str">
        <v>SI</v>
      </c>
      <c r="AE96">
        <v>731</v>
      </c>
      <c r="AF96" t="str">
        <v>DESARROLLO</v>
      </c>
      <c r="AG96" t="str">
        <v>CLIENTE-0007</v>
      </c>
      <c r="AH96" t="str">
        <v>BARCELONA</v>
      </c>
      <c r="AI96">
        <v>350</v>
      </c>
      <c r="AJ96">
        <v>43501</v>
      </c>
      <c r="AK96" t="str">
        <v>SI</v>
      </c>
      <c r="AN96">
        <v>94</v>
      </c>
      <c r="AO96" t="str">
        <v>CONSULTORIA</v>
      </c>
      <c r="AP96" t="str">
        <v>CLIENTE-0007</v>
      </c>
      <c r="AQ96">
        <v>800</v>
      </c>
      <c r="AR96" t="str">
        <v>SI</v>
      </c>
    </row>
    <row r="97" spans="1:44">
      <c r="A97" s="2">
        <v>96</v>
      </c>
      <c r="B97" t="s">
        <v>13</v>
      </c>
      <c r="C97" t="s">
        <v>11</v>
      </c>
      <c r="D97" t="s">
        <v>9</v>
      </c>
      <c r="E97" s="3">
        <v>4500</v>
      </c>
      <c r="F97" s="4">
        <v>43752</v>
      </c>
      <c r="G97" s="2" t="s">
        <v>12</v>
      </c>
      <c r="N97">
        <v>258</v>
      </c>
      <c r="O97" t="str">
        <v>DESARROLLO</v>
      </c>
      <c r="P97" t="str">
        <v>CLIENTE-0003</v>
      </c>
      <c r="Q97" t="str">
        <v>MADRID</v>
      </c>
      <c r="R97" s="10">
        <v>150</v>
      </c>
      <c r="S97">
        <v>44261</v>
      </c>
      <c r="T97" t="str">
        <v>SI</v>
      </c>
      <c r="V97">
        <v>235</v>
      </c>
      <c r="W97" t="str">
        <v>CONSULTORIA</v>
      </c>
      <c r="X97" t="str">
        <v>CLIENTE-0010</v>
      </c>
      <c r="Y97" t="str">
        <v>MADRID</v>
      </c>
      <c r="Z97">
        <v>500</v>
      </c>
      <c r="AA97">
        <v>44424</v>
      </c>
      <c r="AB97" t="str">
        <v>SI</v>
      </c>
      <c r="AE97">
        <v>762</v>
      </c>
      <c r="AF97" t="str">
        <v>DESARROLLO</v>
      </c>
      <c r="AG97" t="str">
        <v>CLIENTE-0009</v>
      </c>
      <c r="AH97" t="str">
        <v>ALICANTE</v>
      </c>
      <c r="AI97">
        <v>350</v>
      </c>
      <c r="AJ97">
        <v>43794</v>
      </c>
      <c r="AK97" t="str">
        <v>SI</v>
      </c>
      <c r="AN97">
        <v>95</v>
      </c>
      <c r="AO97" t="str">
        <v>DESARROLLO</v>
      </c>
      <c r="AP97" t="str">
        <v>CLIENTE-0003</v>
      </c>
      <c r="AQ97">
        <v>750</v>
      </c>
      <c r="AR97" t="str">
        <v>SI</v>
      </c>
    </row>
    <row r="98" spans="1:44">
      <c r="A98" s="2">
        <v>97</v>
      </c>
      <c r="B98" t="s">
        <v>16</v>
      </c>
      <c r="C98" t="s">
        <v>14</v>
      </c>
      <c r="D98" t="s">
        <v>15</v>
      </c>
      <c r="E98" s="3">
        <v>500</v>
      </c>
      <c r="F98" s="4">
        <v>43785</v>
      </c>
      <c r="G98" s="2" t="s">
        <v>12</v>
      </c>
      <c r="N98">
        <v>264</v>
      </c>
      <c r="O98" t="str">
        <v>DESARROLLO</v>
      </c>
      <c r="P98" t="str">
        <v>CLIENTE-0009</v>
      </c>
      <c r="Q98" t="str">
        <v>ALICANTE</v>
      </c>
      <c r="R98" s="10">
        <v>150</v>
      </c>
      <c r="S98">
        <v>44317</v>
      </c>
      <c r="T98" t="str">
        <v>SI</v>
      </c>
      <c r="V98">
        <v>236</v>
      </c>
      <c r="W98" t="str">
        <v>DESARROLLO</v>
      </c>
      <c r="X98" t="str">
        <v>CLIENTE-0001</v>
      </c>
      <c r="Y98" t="str">
        <v>MADRID</v>
      </c>
      <c r="Z98">
        <v>750</v>
      </c>
      <c r="AA98">
        <v>44047</v>
      </c>
      <c r="AB98" t="str">
        <v>SI</v>
      </c>
      <c r="AE98">
        <v>42</v>
      </c>
      <c r="AF98" t="str">
        <v>DESARROLLO</v>
      </c>
      <c r="AG98" t="str">
        <v>CLIENTE-0007</v>
      </c>
      <c r="AH98" t="str">
        <v>BARCELONA</v>
      </c>
      <c r="AI98">
        <v>300</v>
      </c>
      <c r="AJ98">
        <v>44373</v>
      </c>
      <c r="AK98" t="str">
        <v>SI</v>
      </c>
      <c r="AN98">
        <v>96</v>
      </c>
      <c r="AO98" t="str">
        <v>PROYECTO</v>
      </c>
      <c r="AP98" t="str">
        <v>CLIENTE-0004</v>
      </c>
      <c r="AQ98">
        <v>4500</v>
      </c>
      <c r="AR98" t="str">
        <v>SI</v>
      </c>
    </row>
    <row r="99" spans="1:44">
      <c r="A99" s="2">
        <v>98</v>
      </c>
      <c r="B99" t="s">
        <v>18</v>
      </c>
      <c r="C99" t="s">
        <v>14</v>
      </c>
      <c r="D99" t="s">
        <v>15</v>
      </c>
      <c r="E99" s="3">
        <v>750</v>
      </c>
      <c r="F99" s="4">
        <v>43915</v>
      </c>
      <c r="G99" s="2" t="s">
        <v>12</v>
      </c>
      <c r="N99">
        <v>290</v>
      </c>
      <c r="O99" t="str">
        <v>PROGRAMA</v>
      </c>
      <c r="P99" t="str">
        <v>CLIENTE-0001</v>
      </c>
      <c r="Q99" t="str">
        <v>MADRID</v>
      </c>
      <c r="R99" s="10">
        <v>150</v>
      </c>
      <c r="S99">
        <v>44126</v>
      </c>
      <c r="T99" t="str">
        <v>SI</v>
      </c>
      <c r="V99">
        <v>238</v>
      </c>
      <c r="W99" t="str">
        <v>EQUIPOS</v>
      </c>
      <c r="X99" t="str">
        <v>CLIENTE-0003</v>
      </c>
      <c r="Y99" t="str">
        <v>MADRID</v>
      </c>
      <c r="Z99">
        <v>680</v>
      </c>
      <c r="AA99">
        <v>43572</v>
      </c>
      <c r="AB99" t="str">
        <v>SI</v>
      </c>
      <c r="AE99">
        <v>88</v>
      </c>
      <c r="AF99" t="str">
        <v>DESARROLLO</v>
      </c>
      <c r="AG99" t="str">
        <v>CLIENTE-0008</v>
      </c>
      <c r="AH99" t="str">
        <v>ALICANTE</v>
      </c>
      <c r="AI99">
        <v>300</v>
      </c>
      <c r="AJ99">
        <v>44327</v>
      </c>
      <c r="AK99" t="str">
        <v>NO</v>
      </c>
      <c r="AN99">
        <v>97</v>
      </c>
      <c r="AO99" t="str">
        <v>EQUIPOS</v>
      </c>
      <c r="AP99" t="str">
        <v>CLIENTE-0005</v>
      </c>
      <c r="AQ99">
        <v>500</v>
      </c>
      <c r="AR99" t="str">
        <v>SI</v>
      </c>
    </row>
    <row r="100" spans="1:44">
      <c r="A100" s="2">
        <v>99</v>
      </c>
      <c r="B100" t="s">
        <v>20</v>
      </c>
      <c r="C100" t="s">
        <v>17</v>
      </c>
      <c r="D100" t="s">
        <v>15</v>
      </c>
      <c r="E100" s="3">
        <v>950</v>
      </c>
      <c r="F100" s="4">
        <v>44305</v>
      </c>
      <c r="G100" s="2" t="s">
        <v>12</v>
      </c>
      <c r="N100">
        <v>296</v>
      </c>
      <c r="O100" t="str">
        <v>DESARROLLO</v>
      </c>
      <c r="P100" t="str">
        <v>CLIENTE-0007</v>
      </c>
      <c r="Q100" t="str">
        <v>BARCELONA</v>
      </c>
      <c r="R100" s="10">
        <v>150</v>
      </c>
      <c r="S100">
        <v>43774</v>
      </c>
      <c r="T100" t="str">
        <v>SI</v>
      </c>
      <c r="V100">
        <v>239</v>
      </c>
      <c r="W100" t="str">
        <v>PROGRAMA</v>
      </c>
      <c r="X100" t="str">
        <v>CLIENTE-0004</v>
      </c>
      <c r="Y100" t="str">
        <v>MADRID</v>
      </c>
      <c r="Z100">
        <v>950</v>
      </c>
      <c r="AA100">
        <v>43517</v>
      </c>
      <c r="AB100" t="str">
        <v>SI</v>
      </c>
      <c r="AE100">
        <v>111</v>
      </c>
      <c r="AF100" t="str">
        <v>DESARROLLO</v>
      </c>
      <c r="AG100" t="str">
        <v>CLIENTE-0006</v>
      </c>
      <c r="AH100" t="str">
        <v>BARCELONA</v>
      </c>
      <c r="AI100">
        <v>300</v>
      </c>
      <c r="AJ100">
        <v>44170</v>
      </c>
      <c r="AK100" t="str">
        <v>NO</v>
      </c>
      <c r="AN100">
        <v>98</v>
      </c>
      <c r="AO100" t="str">
        <v>PROGRAMA</v>
      </c>
      <c r="AP100" t="str">
        <v>CLIENTE-0005</v>
      </c>
      <c r="AQ100">
        <v>750</v>
      </c>
      <c r="AR100" t="str">
        <v>SI</v>
      </c>
    </row>
    <row r="101" spans="1:44">
      <c r="A101" s="2">
        <v>100</v>
      </c>
      <c r="B101" t="s">
        <v>22</v>
      </c>
      <c r="C101" t="s">
        <v>19</v>
      </c>
      <c r="D101" t="s">
        <v>15</v>
      </c>
      <c r="E101" s="3">
        <v>680</v>
      </c>
      <c r="F101" s="4">
        <v>44495</v>
      </c>
      <c r="G101" s="2" t="s">
        <v>12</v>
      </c>
      <c r="N101">
        <v>301</v>
      </c>
      <c r="O101" t="str">
        <v>PROYECTO</v>
      </c>
      <c r="P101" t="str">
        <v>CLIENTE-0005</v>
      </c>
      <c r="Q101" t="str">
        <v>BARCELONA</v>
      </c>
      <c r="R101" s="10">
        <v>150</v>
      </c>
      <c r="S101">
        <v>43967</v>
      </c>
      <c r="T101" t="str">
        <v>SI</v>
      </c>
      <c r="V101">
        <v>245</v>
      </c>
      <c r="W101" t="str">
        <v>CONSULTORIA</v>
      </c>
      <c r="X101" t="str">
        <v>CLIENTE-0010</v>
      </c>
      <c r="Y101" t="str">
        <v>MADRID</v>
      </c>
      <c r="Z101">
        <v>300</v>
      </c>
      <c r="AA101">
        <v>44514</v>
      </c>
      <c r="AB101" t="str">
        <v>SI</v>
      </c>
      <c r="AE101">
        <v>124</v>
      </c>
      <c r="AF101" t="str">
        <v>DESARROLLO</v>
      </c>
      <c r="AG101" t="str">
        <v>CLIENTE-0001</v>
      </c>
      <c r="AH101" t="str">
        <v>MADRID</v>
      </c>
      <c r="AI101">
        <v>300</v>
      </c>
      <c r="AJ101">
        <v>43639</v>
      </c>
      <c r="AK101" t="str">
        <v>SI</v>
      </c>
      <c r="AN101">
        <v>99</v>
      </c>
      <c r="AO101" t="str">
        <v>FORMACION</v>
      </c>
      <c r="AP101" t="str">
        <v>CLIENTE-0006</v>
      </c>
      <c r="AQ101">
        <v>950</v>
      </c>
      <c r="AR101" t="str">
        <v>SI</v>
      </c>
    </row>
    <row r="102" spans="1:44">
      <c r="A102" s="2">
        <v>101</v>
      </c>
      <c r="B102" t="s">
        <v>10</v>
      </c>
      <c r="C102" t="s">
        <v>23</v>
      </c>
      <c r="D102" t="s">
        <v>24</v>
      </c>
      <c r="E102" s="3">
        <v>950</v>
      </c>
      <c r="F102" s="4">
        <v>43910</v>
      </c>
      <c r="G102" s="2" t="s">
        <v>12</v>
      </c>
      <c r="N102">
        <v>307</v>
      </c>
      <c r="O102" t="str">
        <v>PROYECTO</v>
      </c>
      <c r="P102" t="str">
        <v>CLIENTE-0010</v>
      </c>
      <c r="Q102" t="str">
        <v>MADRID</v>
      </c>
      <c r="R102" s="10">
        <v>150</v>
      </c>
      <c r="S102">
        <v>43605</v>
      </c>
      <c r="T102" t="str">
        <v>NO</v>
      </c>
      <c r="V102">
        <v>246</v>
      </c>
      <c r="W102" t="str">
        <v>DESARROLLO</v>
      </c>
      <c r="X102" t="str">
        <v>CLIENTE-0004</v>
      </c>
      <c r="Y102" t="str">
        <v>MADRID</v>
      </c>
      <c r="Z102">
        <v>200</v>
      </c>
      <c r="AA102">
        <v>43940</v>
      </c>
      <c r="AB102" t="str">
        <v>SI</v>
      </c>
      <c r="AE102">
        <v>176</v>
      </c>
      <c r="AF102" t="str">
        <v>DESARROLLO</v>
      </c>
      <c r="AG102" t="str">
        <v>CLIENTE-0006</v>
      </c>
      <c r="AH102" t="str">
        <v>BARCELONA</v>
      </c>
      <c r="AI102">
        <v>300</v>
      </c>
      <c r="AJ102">
        <v>43496</v>
      </c>
      <c r="AK102" t="str">
        <v>SI</v>
      </c>
      <c r="AN102">
        <v>100</v>
      </c>
      <c r="AO102" t="str">
        <v>CONSULTORIA</v>
      </c>
      <c r="AP102" t="str">
        <v>CLIENTE-0007</v>
      </c>
      <c r="AQ102">
        <v>680</v>
      </c>
      <c r="AR102" t="str">
        <v>SI</v>
      </c>
    </row>
    <row r="103" spans="1:44">
      <c r="A103" s="2">
        <v>102</v>
      </c>
      <c r="B103" t="s">
        <v>13</v>
      </c>
      <c r="C103" t="s">
        <v>25</v>
      </c>
      <c r="D103" t="s">
        <v>24</v>
      </c>
      <c r="E103" s="3">
        <v>1500</v>
      </c>
      <c r="F103" s="4">
        <v>44287</v>
      </c>
      <c r="G103" s="2" t="s">
        <v>12</v>
      </c>
      <c r="N103">
        <v>336</v>
      </c>
      <c r="O103" t="str">
        <v>EQUIPOS</v>
      </c>
      <c r="P103" t="str">
        <v>CLIENTE-0007</v>
      </c>
      <c r="Q103" t="str">
        <v>BARCELONA</v>
      </c>
      <c r="R103" s="10">
        <v>150</v>
      </c>
      <c r="S103">
        <v>44401</v>
      </c>
      <c r="T103" t="str">
        <v>SI</v>
      </c>
      <c r="V103">
        <v>253</v>
      </c>
      <c r="W103" t="str">
        <v>PROYECTO</v>
      </c>
      <c r="X103" t="str">
        <v>CLIENTE-0010</v>
      </c>
      <c r="Y103" t="str">
        <v>MADRID</v>
      </c>
      <c r="Z103">
        <v>150</v>
      </c>
      <c r="AA103">
        <v>43528</v>
      </c>
      <c r="AB103" t="str">
        <v>NO</v>
      </c>
      <c r="AE103">
        <v>193</v>
      </c>
      <c r="AF103" t="str">
        <v>DESARROLLO</v>
      </c>
      <c r="AG103" t="str">
        <v>CLIENTE-0003</v>
      </c>
      <c r="AH103" t="str">
        <v>MADRID</v>
      </c>
      <c r="AI103">
        <v>300</v>
      </c>
      <c r="AJ103">
        <v>43700</v>
      </c>
      <c r="AK103" t="str">
        <v>SI</v>
      </c>
      <c r="AN103">
        <v>101</v>
      </c>
      <c r="AO103" t="str">
        <v>DESARROLLO</v>
      </c>
      <c r="AP103" t="str">
        <v>CLIENTE-0008</v>
      </c>
      <c r="AQ103">
        <v>950</v>
      </c>
      <c r="AR103" t="str">
        <v>SI</v>
      </c>
    </row>
    <row r="104" spans="1:44">
      <c r="A104" s="2">
        <v>103</v>
      </c>
      <c r="B104" t="s">
        <v>16</v>
      </c>
      <c r="C104" t="s">
        <v>26</v>
      </c>
      <c r="D104" t="s">
        <v>9</v>
      </c>
      <c r="E104" s="3">
        <v>5000</v>
      </c>
      <c r="F104" s="4">
        <v>43869</v>
      </c>
      <c r="G104" s="2" t="s">
        <v>12</v>
      </c>
      <c r="N104">
        <v>342</v>
      </c>
      <c r="O104" t="str">
        <v>EQUIPOS</v>
      </c>
      <c r="P104" t="str">
        <v>CLIENTE-0006</v>
      </c>
      <c r="Q104" t="str">
        <v>BARCELONA</v>
      </c>
      <c r="R104" s="10">
        <v>150</v>
      </c>
      <c r="S104">
        <v>43778</v>
      </c>
      <c r="T104" t="str">
        <v>SI</v>
      </c>
      <c r="V104">
        <v>254</v>
      </c>
      <c r="W104" t="str">
        <v>EQUIPOS</v>
      </c>
      <c r="X104" t="str">
        <v>CLIENTE-0001</v>
      </c>
      <c r="Y104" t="str">
        <v>MADRID</v>
      </c>
      <c r="Z104">
        <v>8500</v>
      </c>
      <c r="AA104">
        <v>43582</v>
      </c>
      <c r="AB104" t="str">
        <v>NO</v>
      </c>
      <c r="AE104">
        <v>334</v>
      </c>
      <c r="AF104" t="str">
        <v>DESARROLLO</v>
      </c>
      <c r="AG104" t="str">
        <v>CLIENTE-0005</v>
      </c>
      <c r="AH104" t="str">
        <v>BARCELONA</v>
      </c>
      <c r="AI104">
        <v>300</v>
      </c>
      <c r="AJ104">
        <v>44310</v>
      </c>
      <c r="AK104" t="str">
        <v>SI</v>
      </c>
      <c r="AN104">
        <v>102</v>
      </c>
      <c r="AO104" t="str">
        <v>PROYECTO</v>
      </c>
      <c r="AP104" t="str">
        <v>CLIENTE-0009</v>
      </c>
      <c r="AQ104">
        <v>1500</v>
      </c>
      <c r="AR104" t="str">
        <v>SI</v>
      </c>
    </row>
    <row r="105" spans="1:44">
      <c r="A105" s="2">
        <v>104</v>
      </c>
      <c r="B105" t="s">
        <v>22</v>
      </c>
      <c r="C105" t="s">
        <v>27</v>
      </c>
      <c r="D105" t="s">
        <v>9</v>
      </c>
      <c r="E105" s="3">
        <v>6500</v>
      </c>
      <c r="F105" s="4">
        <v>44368</v>
      </c>
      <c r="G105" s="2" t="s">
        <v>12</v>
      </c>
      <c r="N105">
        <v>359</v>
      </c>
      <c r="O105" t="str">
        <v>EQUIPOS</v>
      </c>
      <c r="P105" t="str">
        <v>CLIENTE-0005</v>
      </c>
      <c r="Q105" t="str">
        <v>BARCELONA</v>
      </c>
      <c r="R105" s="10">
        <v>150</v>
      </c>
      <c r="S105">
        <v>44424</v>
      </c>
      <c r="T105" t="str">
        <v>SI</v>
      </c>
      <c r="V105">
        <v>255</v>
      </c>
      <c r="W105" t="str">
        <v>PROGRAMA</v>
      </c>
      <c r="X105" t="str">
        <v>CLIENTE-0010</v>
      </c>
      <c r="Y105" t="str">
        <v>MADRID</v>
      </c>
      <c r="Z105">
        <v>1200</v>
      </c>
      <c r="AA105">
        <v>44473</v>
      </c>
      <c r="AB105" t="str">
        <v>NO</v>
      </c>
      <c r="AE105">
        <v>340</v>
      </c>
      <c r="AF105" t="str">
        <v>DESARROLLO</v>
      </c>
      <c r="AG105" t="str">
        <v>CLIENTE-0004</v>
      </c>
      <c r="AH105" t="str">
        <v>MADRID</v>
      </c>
      <c r="AI105">
        <v>300</v>
      </c>
      <c r="AJ105">
        <v>44155</v>
      </c>
      <c r="AK105" t="str">
        <v>SI</v>
      </c>
      <c r="AN105">
        <v>103</v>
      </c>
      <c r="AO105" t="str">
        <v>EQUIPOS</v>
      </c>
      <c r="AP105" t="str">
        <v>CLIENTE-0010</v>
      </c>
      <c r="AQ105">
        <v>5000</v>
      </c>
      <c r="AR105" t="str">
        <v>SI</v>
      </c>
    </row>
    <row r="106" spans="1:44">
      <c r="A106" s="2">
        <v>105</v>
      </c>
      <c r="B106" t="s">
        <v>10</v>
      </c>
      <c r="C106" t="s">
        <v>26</v>
      </c>
      <c r="D106" t="s">
        <v>9</v>
      </c>
      <c r="E106" s="3">
        <v>8500</v>
      </c>
      <c r="F106" s="4">
        <v>44206</v>
      </c>
      <c r="G106" s="2" t="s">
        <v>12</v>
      </c>
      <c r="N106">
        <v>365</v>
      </c>
      <c r="O106" t="str">
        <v>FORMACION</v>
      </c>
      <c r="P106" t="str">
        <v>CLIENTE-0004</v>
      </c>
      <c r="Q106" t="str">
        <v>MADRID</v>
      </c>
      <c r="R106" s="10">
        <v>150</v>
      </c>
      <c r="S106">
        <v>43794</v>
      </c>
      <c r="T106" t="str">
        <v>SI</v>
      </c>
      <c r="V106">
        <v>256</v>
      </c>
      <c r="W106" t="str">
        <v>FORMACION</v>
      </c>
      <c r="X106" t="str">
        <v>CLIENTE-0001</v>
      </c>
      <c r="Y106" t="str">
        <v>MADRID</v>
      </c>
      <c r="Z106">
        <v>300</v>
      </c>
      <c r="AA106">
        <v>43853</v>
      </c>
      <c r="AB106" t="str">
        <v>NO</v>
      </c>
      <c r="AE106">
        <v>357</v>
      </c>
      <c r="AF106" t="str">
        <v>DESARROLLO</v>
      </c>
      <c r="AG106" t="str">
        <v>CLIENTE-0003</v>
      </c>
      <c r="AH106" t="str">
        <v>MADRID</v>
      </c>
      <c r="AI106">
        <v>300</v>
      </c>
      <c r="AJ106">
        <v>44102</v>
      </c>
      <c r="AK106" t="str">
        <v>SI</v>
      </c>
      <c r="AN106">
        <v>104</v>
      </c>
      <c r="AO106" t="str">
        <v>CONSULTORIA</v>
      </c>
      <c r="AP106" t="str">
        <v>CLIENTE-0001</v>
      </c>
      <c r="AQ106">
        <v>6500</v>
      </c>
      <c r="AR106" t="str">
        <v>SI</v>
      </c>
    </row>
    <row r="107" spans="1:44">
      <c r="A107" s="2">
        <v>106</v>
      </c>
      <c r="B107" t="s">
        <v>13</v>
      </c>
      <c r="C107" t="s">
        <v>27</v>
      </c>
      <c r="D107" t="s">
        <v>9</v>
      </c>
      <c r="E107" s="3">
        <v>1200</v>
      </c>
      <c r="F107" s="4">
        <v>43891</v>
      </c>
      <c r="G107" s="2" t="s">
        <v>12</v>
      </c>
      <c r="N107">
        <v>370</v>
      </c>
      <c r="O107" t="str">
        <v>PROGRAMA</v>
      </c>
      <c r="P107" t="str">
        <v>CLIENTE-0008</v>
      </c>
      <c r="Q107" t="str">
        <v>ALICANTE</v>
      </c>
      <c r="R107" s="10">
        <v>150</v>
      </c>
      <c r="S107">
        <v>44529</v>
      </c>
      <c r="T107" t="str">
        <v>SI</v>
      </c>
      <c r="V107">
        <v>258</v>
      </c>
      <c r="W107" t="str">
        <v>DESARROLLO</v>
      </c>
      <c r="X107" t="str">
        <v>CLIENTE-0003</v>
      </c>
      <c r="Y107" t="str">
        <v>MADRID</v>
      </c>
      <c r="Z107">
        <v>150</v>
      </c>
      <c r="AA107">
        <v>44261</v>
      </c>
      <c r="AB107" t="str">
        <v>SI</v>
      </c>
      <c r="AE107">
        <v>361</v>
      </c>
      <c r="AF107" t="str">
        <v>DESARROLLO</v>
      </c>
      <c r="AG107" t="str">
        <v>CLIENTE-0007</v>
      </c>
      <c r="AH107" t="str">
        <v>BARCELONA</v>
      </c>
      <c r="AI107">
        <v>300</v>
      </c>
      <c r="AJ107">
        <v>43467</v>
      </c>
      <c r="AK107" t="str">
        <v>NO</v>
      </c>
      <c r="AN107">
        <v>105</v>
      </c>
      <c r="AO107" t="str">
        <v>DESARROLLO</v>
      </c>
      <c r="AP107" t="str">
        <v>CLIENTE-0010</v>
      </c>
      <c r="AQ107">
        <v>8500</v>
      </c>
      <c r="AR107" t="str">
        <v>SI</v>
      </c>
    </row>
    <row r="108" spans="1:44">
      <c r="A108" s="2">
        <v>107</v>
      </c>
      <c r="B108" t="s">
        <v>16</v>
      </c>
      <c r="C108" t="s">
        <v>29</v>
      </c>
      <c r="D108" t="s">
        <v>24</v>
      </c>
      <c r="E108" s="3">
        <v>300</v>
      </c>
      <c r="F108" s="4">
        <v>44080</v>
      </c>
      <c r="G108" s="2" t="s">
        <v>12</v>
      </c>
      <c r="N108">
        <v>378</v>
      </c>
      <c r="O108" t="str">
        <v>CONSULTORIA</v>
      </c>
      <c r="P108" t="str">
        <v>CLIENTE-0004</v>
      </c>
      <c r="Q108" t="str">
        <v>MADRID</v>
      </c>
      <c r="R108" s="10">
        <v>150</v>
      </c>
      <c r="S108">
        <v>43533</v>
      </c>
      <c r="T108" t="str">
        <v>NO</v>
      </c>
      <c r="V108">
        <v>259</v>
      </c>
      <c r="W108" t="str">
        <v>PROYECTO</v>
      </c>
      <c r="X108" t="str">
        <v>CLIENTE-0004</v>
      </c>
      <c r="Y108" t="str">
        <v>MADRID</v>
      </c>
      <c r="Z108">
        <v>120</v>
      </c>
      <c r="AA108">
        <v>44180</v>
      </c>
      <c r="AB108" t="str">
        <v>SI</v>
      </c>
      <c r="AE108">
        <v>414</v>
      </c>
      <c r="AF108" t="str">
        <v>DESARROLLO</v>
      </c>
      <c r="AG108" t="str">
        <v>CLIENTE-0006</v>
      </c>
      <c r="AH108" t="str">
        <v>BARCELONA</v>
      </c>
      <c r="AI108">
        <v>300</v>
      </c>
      <c r="AJ108">
        <v>44337</v>
      </c>
      <c r="AK108" t="str">
        <v>NO</v>
      </c>
      <c r="AN108">
        <v>106</v>
      </c>
      <c r="AO108" t="str">
        <v>PROYECTO</v>
      </c>
      <c r="AP108" t="str">
        <v>CLIENTE-0001</v>
      </c>
      <c r="AQ108">
        <v>1200</v>
      </c>
      <c r="AR108" t="str">
        <v>SI</v>
      </c>
    </row>
    <row r="109" spans="1:44">
      <c r="A109" s="2">
        <v>108</v>
      </c>
      <c r="B109" t="s">
        <v>18</v>
      </c>
      <c r="C109" t="s">
        <v>21</v>
      </c>
      <c r="D109" t="s">
        <v>9</v>
      </c>
      <c r="E109" s="3">
        <v>200</v>
      </c>
      <c r="F109" s="4">
        <v>44183</v>
      </c>
      <c r="G109" s="2" t="s">
        <v>12</v>
      </c>
      <c r="N109">
        <v>384</v>
      </c>
      <c r="O109" t="str">
        <v>CONSULTORIA</v>
      </c>
      <c r="P109" t="str">
        <v>CLIENTE-0010</v>
      </c>
      <c r="Q109" t="str">
        <v>MADRID</v>
      </c>
      <c r="R109" s="10">
        <v>150</v>
      </c>
      <c r="S109">
        <v>43786</v>
      </c>
      <c r="T109" t="str">
        <v>SI</v>
      </c>
      <c r="V109">
        <v>265</v>
      </c>
      <c r="W109" t="str">
        <v>DESARROLLO</v>
      </c>
      <c r="X109" t="str">
        <v>CLIENTE-0010</v>
      </c>
      <c r="Y109" t="str">
        <v>MADRID</v>
      </c>
      <c r="Z109">
        <v>1200</v>
      </c>
      <c r="AA109">
        <v>44483</v>
      </c>
      <c r="AB109" t="str">
        <v>SI</v>
      </c>
      <c r="AE109">
        <v>445</v>
      </c>
      <c r="AF109" t="str">
        <v>DESARROLLO</v>
      </c>
      <c r="AG109" t="str">
        <v>CLIENTE-0010</v>
      </c>
      <c r="AH109" t="str">
        <v>MADRID</v>
      </c>
      <c r="AI109">
        <v>300</v>
      </c>
      <c r="AJ109">
        <v>43644</v>
      </c>
      <c r="AK109" t="str">
        <v>SI</v>
      </c>
      <c r="AN109">
        <v>107</v>
      </c>
      <c r="AO109" t="str">
        <v>EQUIPOS</v>
      </c>
      <c r="AP109" t="str">
        <v>CLIENTE-0002</v>
      </c>
      <c r="AQ109">
        <v>300</v>
      </c>
      <c r="AR109" t="str">
        <v>SI</v>
      </c>
    </row>
    <row r="110" spans="1:44">
      <c r="A110" s="2">
        <v>109</v>
      </c>
      <c r="B110" t="s">
        <v>20</v>
      </c>
      <c r="C110" t="s">
        <v>11</v>
      </c>
      <c r="D110" t="s">
        <v>9</v>
      </c>
      <c r="E110" s="3">
        <v>150</v>
      </c>
      <c r="F110" s="4">
        <v>43538</v>
      </c>
      <c r="G110" s="2" t="s">
        <v>12</v>
      </c>
      <c r="N110">
        <v>401</v>
      </c>
      <c r="O110" t="str">
        <v>DESARROLLO</v>
      </c>
      <c r="P110" t="str">
        <v>CLIENTE-0001</v>
      </c>
      <c r="Q110" t="str">
        <v>MADRID</v>
      </c>
      <c r="R110" s="10">
        <v>150</v>
      </c>
      <c r="S110">
        <v>43770</v>
      </c>
      <c r="T110" t="str">
        <v>SI</v>
      </c>
      <c r="V110">
        <v>266</v>
      </c>
      <c r="W110" t="str">
        <v>PROYECTO</v>
      </c>
      <c r="X110" t="str">
        <v>CLIENTE-0004</v>
      </c>
      <c r="Y110" t="str">
        <v>MADRID</v>
      </c>
      <c r="Z110">
        <v>800</v>
      </c>
      <c r="AA110">
        <v>43608</v>
      </c>
      <c r="AB110" t="str">
        <v>SI</v>
      </c>
      <c r="AE110">
        <v>449</v>
      </c>
      <c r="AF110" t="str">
        <v>DESARROLLO</v>
      </c>
      <c r="AG110" t="str">
        <v>CLIENTE-0004</v>
      </c>
      <c r="AH110" t="str">
        <v>MADRID</v>
      </c>
      <c r="AI110">
        <v>300</v>
      </c>
      <c r="AJ110">
        <v>44040</v>
      </c>
      <c r="AK110" t="str">
        <v>SI</v>
      </c>
      <c r="AN110">
        <v>108</v>
      </c>
      <c r="AO110" t="str">
        <v>PROGRAMA</v>
      </c>
      <c r="AP110" t="str">
        <v>CLIENTE-0003</v>
      </c>
      <c r="AQ110">
        <v>200</v>
      </c>
      <c r="AR110" t="str">
        <v>SI</v>
      </c>
    </row>
    <row r="111" spans="1:44">
      <c r="A111" s="2">
        <v>110</v>
      </c>
      <c r="B111" t="s">
        <v>22</v>
      </c>
      <c r="C111" t="s">
        <v>14</v>
      </c>
      <c r="D111" t="s">
        <v>15</v>
      </c>
      <c r="E111" s="3">
        <v>120</v>
      </c>
      <c r="F111" s="4">
        <v>44081</v>
      </c>
      <c r="G111" s="2" t="s">
        <v>12</v>
      </c>
      <c r="N111">
        <v>407</v>
      </c>
      <c r="O111" t="str">
        <v>DESARROLLO</v>
      </c>
      <c r="P111" t="str">
        <v>CLIENTE-0007</v>
      </c>
      <c r="Q111" t="str">
        <v>BARCELONA</v>
      </c>
      <c r="R111" s="10">
        <v>150</v>
      </c>
      <c r="S111">
        <v>44050</v>
      </c>
      <c r="T111" t="str">
        <v>SI</v>
      </c>
      <c r="V111">
        <v>267</v>
      </c>
      <c r="W111" t="str">
        <v>EQUIPOS</v>
      </c>
      <c r="X111" t="str">
        <v>CLIENTE-0010</v>
      </c>
      <c r="Y111" t="str">
        <v>MADRID</v>
      </c>
      <c r="Z111">
        <v>750</v>
      </c>
      <c r="AA111">
        <v>43570</v>
      </c>
      <c r="AB111" t="str">
        <v>SI</v>
      </c>
      <c r="AE111">
        <v>479</v>
      </c>
      <c r="AF111" t="str">
        <v>DESARROLLO</v>
      </c>
      <c r="AG111" t="str">
        <v>CLIENTE-0007</v>
      </c>
      <c r="AH111" t="str">
        <v>BARCELONA</v>
      </c>
      <c r="AI111">
        <v>300</v>
      </c>
      <c r="AJ111">
        <v>44036</v>
      </c>
      <c r="AK111" t="str">
        <v>NO</v>
      </c>
      <c r="AN111">
        <v>109</v>
      </c>
      <c r="AO111" t="str">
        <v>FORMACION</v>
      </c>
      <c r="AP111" t="str">
        <v>CLIENTE-0004</v>
      </c>
      <c r="AQ111">
        <v>150</v>
      </c>
      <c r="AR111" t="str">
        <v>SI</v>
      </c>
    </row>
    <row r="112" spans="1:44">
      <c r="A112" s="2">
        <v>111</v>
      </c>
      <c r="B112" t="s">
        <v>10</v>
      </c>
      <c r="C112" t="s">
        <v>17</v>
      </c>
      <c r="D112" t="s">
        <v>15</v>
      </c>
      <c r="E112" s="3">
        <v>300</v>
      </c>
      <c r="F112" s="4">
        <v>44170</v>
      </c>
      <c r="G112" s="2" t="s">
        <v>28</v>
      </c>
      <c r="N112">
        <v>412</v>
      </c>
      <c r="O112" t="str">
        <v>CONSULTORIA</v>
      </c>
      <c r="P112" t="str">
        <v>CLIENTE-0005</v>
      </c>
      <c r="Q112" t="str">
        <v>BARCELONA</v>
      </c>
      <c r="R112" s="10">
        <v>150</v>
      </c>
      <c r="S112">
        <v>43808</v>
      </c>
      <c r="T112" t="str">
        <v>NO</v>
      </c>
      <c r="V112">
        <v>268</v>
      </c>
      <c r="W112" t="str">
        <v>PROGRAMA</v>
      </c>
      <c r="X112" t="str">
        <v>CLIENTE-0001</v>
      </c>
      <c r="Y112" t="str">
        <v>MADRID</v>
      </c>
      <c r="Z112">
        <v>4500</v>
      </c>
      <c r="AA112">
        <v>44506</v>
      </c>
      <c r="AB112" t="str">
        <v>SI</v>
      </c>
      <c r="AE112">
        <v>483</v>
      </c>
      <c r="AF112" t="str">
        <v>DESARROLLO</v>
      </c>
      <c r="AG112" t="str">
        <v>CLIENTE-0005</v>
      </c>
      <c r="AH112" t="str">
        <v>BARCELONA</v>
      </c>
      <c r="AI112">
        <v>300</v>
      </c>
      <c r="AJ112">
        <v>43599</v>
      </c>
      <c r="AK112" t="str">
        <v>NO</v>
      </c>
      <c r="AN112">
        <v>110</v>
      </c>
      <c r="AO112" t="str">
        <v>CONSULTORIA</v>
      </c>
      <c r="AP112" t="str">
        <v>CLIENTE-0005</v>
      </c>
      <c r="AQ112">
        <v>120</v>
      </c>
      <c r="AR112" t="str">
        <v>SI</v>
      </c>
    </row>
    <row r="113" spans="1:44">
      <c r="A113" s="2">
        <v>112</v>
      </c>
      <c r="B113" t="s">
        <v>13</v>
      </c>
      <c r="C113" t="s">
        <v>19</v>
      </c>
      <c r="D113" t="s">
        <v>15</v>
      </c>
      <c r="E113" s="3">
        <v>350</v>
      </c>
      <c r="F113" s="4">
        <v>43967</v>
      </c>
      <c r="G113" s="2" t="s">
        <v>28</v>
      </c>
      <c r="N113">
        <v>418</v>
      </c>
      <c r="O113" t="str">
        <v>FORMACION</v>
      </c>
      <c r="P113" t="str">
        <v>CLIENTE-0010</v>
      </c>
      <c r="Q113" t="str">
        <v>MADRID</v>
      </c>
      <c r="R113" s="10">
        <v>150</v>
      </c>
      <c r="S113">
        <v>44242</v>
      </c>
      <c r="T113" t="str">
        <v>SI</v>
      </c>
      <c r="V113">
        <v>269</v>
      </c>
      <c r="W113" t="str">
        <v>FORMACION</v>
      </c>
      <c r="X113" t="str">
        <v>CLIENTE-0010</v>
      </c>
      <c r="Y113" t="str">
        <v>MADRID</v>
      </c>
      <c r="Z113">
        <v>500</v>
      </c>
      <c r="AA113">
        <v>43930</v>
      </c>
      <c r="AB113" t="str">
        <v>SI</v>
      </c>
      <c r="AE113">
        <v>514</v>
      </c>
      <c r="AF113" t="str">
        <v>DESARROLLO</v>
      </c>
      <c r="AG113" t="str">
        <v>CLIENTE-0004</v>
      </c>
      <c r="AH113" t="str">
        <v>MADRID</v>
      </c>
      <c r="AI113">
        <v>300</v>
      </c>
      <c r="AJ113">
        <v>44382</v>
      </c>
      <c r="AK113" t="str">
        <v>SI</v>
      </c>
      <c r="AN113">
        <v>111</v>
      </c>
      <c r="AO113" t="str">
        <v>DESARROLLO</v>
      </c>
      <c r="AP113" t="str">
        <v>CLIENTE-0006</v>
      </c>
      <c r="AQ113">
        <v>300</v>
      </c>
      <c r="AR113" t="str">
        <v>NO</v>
      </c>
    </row>
    <row r="114" spans="1:44">
      <c r="A114" s="2">
        <v>113</v>
      </c>
      <c r="B114" t="s">
        <v>16</v>
      </c>
      <c r="C114" t="s">
        <v>23</v>
      </c>
      <c r="D114" t="s">
        <v>24</v>
      </c>
      <c r="E114" s="3">
        <v>300</v>
      </c>
      <c r="F114" s="4">
        <v>44384</v>
      </c>
      <c r="G114" s="2" t="s">
        <v>28</v>
      </c>
      <c r="N114">
        <v>447</v>
      </c>
      <c r="O114" t="str">
        <v>EQUIPOS</v>
      </c>
      <c r="P114" t="str">
        <v>CLIENTE-0002</v>
      </c>
      <c r="Q114" t="str">
        <v>ALICANTE</v>
      </c>
      <c r="R114" s="10">
        <v>150</v>
      </c>
      <c r="S114">
        <v>44086</v>
      </c>
      <c r="T114" t="str">
        <v>SI</v>
      </c>
      <c r="V114">
        <v>270</v>
      </c>
      <c r="W114" t="str">
        <v>CONSULTORIA</v>
      </c>
      <c r="X114" t="str">
        <v>CLIENTE-0001</v>
      </c>
      <c r="Y114" t="str">
        <v>MADRID</v>
      </c>
      <c r="Z114">
        <v>750</v>
      </c>
      <c r="AA114">
        <v>44428</v>
      </c>
      <c r="AB114" t="str">
        <v>SI</v>
      </c>
      <c r="AE114">
        <v>621</v>
      </c>
      <c r="AF114" t="str">
        <v>DESARROLLO</v>
      </c>
      <c r="AG114" t="str">
        <v>CLIENTE-0001</v>
      </c>
      <c r="AH114" t="str">
        <v>MADRID</v>
      </c>
      <c r="AI114">
        <v>300</v>
      </c>
      <c r="AJ114">
        <v>43604</v>
      </c>
      <c r="AK114" t="str">
        <v>NO</v>
      </c>
      <c r="AN114">
        <v>112</v>
      </c>
      <c r="AO114" t="str">
        <v>PROYECTO</v>
      </c>
      <c r="AP114" t="str">
        <v>CLIENTE-0007</v>
      </c>
      <c r="AQ114">
        <v>350</v>
      </c>
      <c r="AR114" t="str">
        <v>NO</v>
      </c>
    </row>
    <row r="115" spans="1:44">
      <c r="A115" s="2">
        <v>114</v>
      </c>
      <c r="B115" t="s">
        <v>18</v>
      </c>
      <c r="C115" t="s">
        <v>25</v>
      </c>
      <c r="D115" t="s">
        <v>24</v>
      </c>
      <c r="E115" s="3">
        <v>120</v>
      </c>
      <c r="F115" s="4">
        <v>43752</v>
      </c>
      <c r="G115" s="2" t="s">
        <v>28</v>
      </c>
      <c r="N115">
        <v>453</v>
      </c>
      <c r="O115" t="str">
        <v>FORMACION</v>
      </c>
      <c r="P115" t="str">
        <v>CLIENTE-0008</v>
      </c>
      <c r="Q115" t="str">
        <v>ALICANTE</v>
      </c>
      <c r="R115" s="10">
        <v>150</v>
      </c>
      <c r="S115">
        <v>43865</v>
      </c>
      <c r="T115" t="str">
        <v>NO</v>
      </c>
      <c r="V115">
        <v>272</v>
      </c>
      <c r="W115" t="str">
        <v>PROYECTO</v>
      </c>
      <c r="X115" t="str">
        <v>CLIENTE-0003</v>
      </c>
      <c r="Y115" t="str">
        <v>MADRID</v>
      </c>
      <c r="Z115">
        <v>680</v>
      </c>
      <c r="AA115">
        <v>44036</v>
      </c>
      <c r="AB115" t="str">
        <v>SI</v>
      </c>
      <c r="AE115">
        <v>661</v>
      </c>
      <c r="AF115" t="str">
        <v>DESARROLLO</v>
      </c>
      <c r="AG115" t="str">
        <v>CLIENTE-0006</v>
      </c>
      <c r="AH115" t="str">
        <v>BARCELONA</v>
      </c>
      <c r="AI115">
        <v>300</v>
      </c>
      <c r="AJ115">
        <v>43835</v>
      </c>
      <c r="AK115" t="str">
        <v>SI</v>
      </c>
      <c r="AN115">
        <v>113</v>
      </c>
      <c r="AO115" t="str">
        <v>EQUIPOS</v>
      </c>
      <c r="AP115" t="str">
        <v>CLIENTE-0008</v>
      </c>
      <c r="AQ115">
        <v>300</v>
      </c>
      <c r="AR115" t="str">
        <v>NO</v>
      </c>
    </row>
    <row r="116" spans="1:44">
      <c r="A116" s="2">
        <v>115</v>
      </c>
      <c r="B116" t="s">
        <v>13</v>
      </c>
      <c r="C116" t="s">
        <v>26</v>
      </c>
      <c r="D116" t="s">
        <v>9</v>
      </c>
      <c r="E116" s="3">
        <v>150</v>
      </c>
      <c r="F116" s="4">
        <v>44007</v>
      </c>
      <c r="G116" s="2" t="s">
        <v>28</v>
      </c>
      <c r="N116">
        <v>470</v>
      </c>
      <c r="O116" t="str">
        <v>PROGRAMA</v>
      </c>
      <c r="P116" t="str">
        <v>CLIENTE-0005</v>
      </c>
      <c r="Q116" t="str">
        <v>BARCELONA</v>
      </c>
      <c r="R116" s="10">
        <v>150</v>
      </c>
      <c r="S116">
        <v>43956</v>
      </c>
      <c r="T116" t="str">
        <v>SI</v>
      </c>
      <c r="V116">
        <v>273</v>
      </c>
      <c r="W116" t="str">
        <v>EQUIPOS</v>
      </c>
      <c r="X116" t="str">
        <v>CLIENTE-0004</v>
      </c>
      <c r="Y116" t="str">
        <v>MADRID</v>
      </c>
      <c r="Z116">
        <v>950</v>
      </c>
      <c r="AA116">
        <v>43728</v>
      </c>
      <c r="AB116" t="str">
        <v>SI</v>
      </c>
      <c r="AE116">
        <v>696</v>
      </c>
      <c r="AF116" t="str">
        <v>DESARROLLO</v>
      </c>
      <c r="AG116" t="str">
        <v>CLIENTE-0004</v>
      </c>
      <c r="AH116" t="str">
        <v>MADRID</v>
      </c>
      <c r="AI116">
        <v>300</v>
      </c>
      <c r="AJ116">
        <v>43820</v>
      </c>
      <c r="AK116" t="str">
        <v>SI</v>
      </c>
      <c r="AN116">
        <v>114</v>
      </c>
      <c r="AO116" t="str">
        <v>PROGRAMA</v>
      </c>
      <c r="AP116" t="str">
        <v>CLIENTE-0009</v>
      </c>
      <c r="AQ116">
        <v>120</v>
      </c>
      <c r="AR116" t="str">
        <v>NO</v>
      </c>
    </row>
    <row r="117" spans="1:44">
      <c r="A117" s="2">
        <v>116</v>
      </c>
      <c r="B117" t="s">
        <v>16</v>
      </c>
      <c r="C117" t="s">
        <v>11</v>
      </c>
      <c r="D117" t="s">
        <v>9</v>
      </c>
      <c r="E117" s="3">
        <v>8500</v>
      </c>
      <c r="F117" s="4">
        <v>44242</v>
      </c>
      <c r="G117" s="2" t="s">
        <v>28</v>
      </c>
      <c r="N117">
        <v>476</v>
      </c>
      <c r="O117" t="str">
        <v>PROGRAMA</v>
      </c>
      <c r="P117" t="str">
        <v>CLIENTE-0004</v>
      </c>
      <c r="Q117" t="str">
        <v>MADRID</v>
      </c>
      <c r="R117" s="10">
        <v>150</v>
      </c>
      <c r="S117">
        <v>43691</v>
      </c>
      <c r="T117" t="str">
        <v>SI</v>
      </c>
      <c r="V117">
        <v>279</v>
      </c>
      <c r="W117" t="str">
        <v>EQUIPOS</v>
      </c>
      <c r="X117" t="str">
        <v>CLIENTE-0010</v>
      </c>
      <c r="Y117" t="str">
        <v>MADRID</v>
      </c>
      <c r="Z117">
        <v>750</v>
      </c>
      <c r="AA117">
        <v>44409</v>
      </c>
      <c r="AB117" t="str">
        <v>NO</v>
      </c>
      <c r="AE117">
        <v>730</v>
      </c>
      <c r="AF117" t="str">
        <v>DESARROLLO</v>
      </c>
      <c r="AG117" t="str">
        <v>CLIENTE-0006</v>
      </c>
      <c r="AH117" t="str">
        <v>BARCELONA</v>
      </c>
      <c r="AI117">
        <v>300</v>
      </c>
      <c r="AJ117">
        <v>44208</v>
      </c>
      <c r="AK117" t="str">
        <v>SI</v>
      </c>
      <c r="AN117">
        <v>115</v>
      </c>
      <c r="AO117" t="str">
        <v>PROYECTO</v>
      </c>
      <c r="AP117" t="str">
        <v>CLIENTE-0010</v>
      </c>
      <c r="AQ117">
        <v>150</v>
      </c>
      <c r="AR117" t="str">
        <v>NO</v>
      </c>
    </row>
    <row r="118" spans="1:44">
      <c r="A118" s="2">
        <v>117</v>
      </c>
      <c r="B118" t="s">
        <v>18</v>
      </c>
      <c r="C118" t="s">
        <v>14</v>
      </c>
      <c r="D118" t="s">
        <v>15</v>
      </c>
      <c r="E118" s="3">
        <v>1200</v>
      </c>
      <c r="F118" s="4">
        <v>44012</v>
      </c>
      <c r="G118" s="2" t="s">
        <v>28</v>
      </c>
      <c r="N118">
        <v>481</v>
      </c>
      <c r="O118" t="str">
        <v>EQUIPOS</v>
      </c>
      <c r="P118" t="str">
        <v>CLIENTE-0004</v>
      </c>
      <c r="Q118" t="str">
        <v>MADRID</v>
      </c>
      <c r="R118" s="10">
        <v>150</v>
      </c>
      <c r="S118">
        <v>44012</v>
      </c>
      <c r="T118" t="str">
        <v>NO</v>
      </c>
      <c r="V118">
        <v>280</v>
      </c>
      <c r="W118" t="str">
        <v>CONSULTORIA</v>
      </c>
      <c r="X118" t="str">
        <v>CLIENTE-0004</v>
      </c>
      <c r="Y118" t="str">
        <v>MADRID</v>
      </c>
      <c r="Z118">
        <v>950</v>
      </c>
      <c r="AA118">
        <v>44317</v>
      </c>
      <c r="AB118" t="str">
        <v>NO</v>
      </c>
      <c r="AE118">
        <v>772</v>
      </c>
      <c r="AF118" t="str">
        <v>DESARROLLO</v>
      </c>
      <c r="AG118" t="str">
        <v>CLIENTE-0001</v>
      </c>
      <c r="AH118" t="str">
        <v>MADRID</v>
      </c>
      <c r="AI118">
        <v>300</v>
      </c>
      <c r="AJ118">
        <v>44365</v>
      </c>
      <c r="AK118" t="str">
        <v>NO</v>
      </c>
      <c r="AN118">
        <v>116</v>
      </c>
      <c r="AO118" t="str">
        <v>EQUIPOS</v>
      </c>
      <c r="AP118" t="str">
        <v>CLIENTE-0004</v>
      </c>
      <c r="AQ118">
        <v>8500</v>
      </c>
      <c r="AR118" t="str">
        <v>NO</v>
      </c>
    </row>
    <row r="119" spans="1:44">
      <c r="A119" s="2">
        <v>118</v>
      </c>
      <c r="B119" t="s">
        <v>20</v>
      </c>
      <c r="C119" t="s">
        <v>14</v>
      </c>
      <c r="D119" t="s">
        <v>15</v>
      </c>
      <c r="E119" s="3">
        <v>300</v>
      </c>
      <c r="F119" s="4">
        <v>43811</v>
      </c>
      <c r="G119" s="2" t="s">
        <v>12</v>
      </c>
      <c r="N119">
        <v>487</v>
      </c>
      <c r="O119" t="str">
        <v>FORMACION</v>
      </c>
      <c r="P119" t="str">
        <v>CLIENTE-0009</v>
      </c>
      <c r="Q119" t="str">
        <v>ALICANTE</v>
      </c>
      <c r="R119" s="10">
        <v>150</v>
      </c>
      <c r="S119">
        <v>43785</v>
      </c>
      <c r="T119" t="str">
        <v>SI</v>
      </c>
      <c r="V119">
        <v>287</v>
      </c>
      <c r="W119" t="str">
        <v>DESARROLLO</v>
      </c>
      <c r="X119" t="str">
        <v>CLIENTE-0010</v>
      </c>
      <c r="Y119" t="str">
        <v>MADRID</v>
      </c>
      <c r="Z119">
        <v>1200</v>
      </c>
      <c r="AA119">
        <v>44429</v>
      </c>
      <c r="AB119" t="str">
        <v>SI</v>
      </c>
      <c r="AE119">
        <v>154</v>
      </c>
      <c r="AF119" t="str">
        <v>DESARROLLO</v>
      </c>
      <c r="AG119" t="str">
        <v>CLIENTE-0004</v>
      </c>
      <c r="AH119" t="str">
        <v>MADRID</v>
      </c>
      <c r="AI119">
        <v>200</v>
      </c>
      <c r="AJ119">
        <v>44069</v>
      </c>
      <c r="AK119" t="str">
        <v>NO</v>
      </c>
      <c r="AN119">
        <v>117</v>
      </c>
      <c r="AO119" t="str">
        <v>PROGRAMA</v>
      </c>
      <c r="AP119" t="str">
        <v>CLIENTE-0005</v>
      </c>
      <c r="AQ119">
        <v>1200</v>
      </c>
      <c r="AR119" t="str">
        <v>NO</v>
      </c>
    </row>
    <row r="120" spans="1:44">
      <c r="A120" s="2">
        <v>119</v>
      </c>
      <c r="B120" t="s">
        <v>22</v>
      </c>
      <c r="C120" t="s">
        <v>17</v>
      </c>
      <c r="D120" t="s">
        <v>15</v>
      </c>
      <c r="E120" s="3">
        <v>200</v>
      </c>
      <c r="F120" s="4">
        <v>43745</v>
      </c>
      <c r="G120" s="2" t="s">
        <v>12</v>
      </c>
      <c r="N120">
        <v>516</v>
      </c>
      <c r="O120" t="str">
        <v>EQUIPOS</v>
      </c>
      <c r="P120" t="str">
        <v>CLIENTE-0006</v>
      </c>
      <c r="Q120" t="str">
        <v>BARCELONA</v>
      </c>
      <c r="R120" s="10">
        <v>150</v>
      </c>
      <c r="S120">
        <v>44145</v>
      </c>
      <c r="T120" t="str">
        <v>SI</v>
      </c>
      <c r="V120">
        <v>288</v>
      </c>
      <c r="W120" t="str">
        <v>PROYECTO</v>
      </c>
      <c r="X120" t="str">
        <v>CLIENTE-0001</v>
      </c>
      <c r="Y120" t="str">
        <v>MADRID</v>
      </c>
      <c r="Z120">
        <v>300</v>
      </c>
      <c r="AA120">
        <v>44200</v>
      </c>
      <c r="AB120" t="str">
        <v>SI</v>
      </c>
      <c r="AE120">
        <v>177</v>
      </c>
      <c r="AF120" t="str">
        <v>DESARROLLO</v>
      </c>
      <c r="AG120" t="str">
        <v>CLIENTE-0007</v>
      </c>
      <c r="AH120" t="str">
        <v>BARCELONA</v>
      </c>
      <c r="AI120">
        <v>200</v>
      </c>
      <c r="AJ120">
        <v>44082</v>
      </c>
      <c r="AK120" t="str">
        <v>SI</v>
      </c>
      <c r="AN120">
        <v>118</v>
      </c>
      <c r="AO120" t="str">
        <v>FORMACION</v>
      </c>
      <c r="AP120" t="str">
        <v>CLIENTE-0005</v>
      </c>
      <c r="AQ120">
        <v>300</v>
      </c>
      <c r="AR120" t="str">
        <v>SI</v>
      </c>
    </row>
    <row r="121" spans="1:44">
      <c r="A121" s="2">
        <v>120</v>
      </c>
      <c r="B121" t="s">
        <v>10</v>
      </c>
      <c r="C121" t="s">
        <v>19</v>
      </c>
      <c r="D121" t="s">
        <v>15</v>
      </c>
      <c r="E121" s="3">
        <v>150</v>
      </c>
      <c r="F121" s="4">
        <v>44133</v>
      </c>
      <c r="G121" s="2" t="s">
        <v>12</v>
      </c>
      <c r="N121">
        <v>522</v>
      </c>
      <c r="O121" t="str">
        <v>CONSULTORIA</v>
      </c>
      <c r="P121" t="str">
        <v>CLIENTE-0005</v>
      </c>
      <c r="Q121" t="str">
        <v>BARCELONA</v>
      </c>
      <c r="R121" s="10">
        <v>150</v>
      </c>
      <c r="S121">
        <v>43540</v>
      </c>
      <c r="T121" t="str">
        <v>SI</v>
      </c>
      <c r="V121">
        <v>289</v>
      </c>
      <c r="W121" t="str">
        <v>EQUIPOS</v>
      </c>
      <c r="X121" t="str">
        <v>CLIENTE-0010</v>
      </c>
      <c r="Y121" t="str">
        <v>MADRID</v>
      </c>
      <c r="Z121">
        <v>200</v>
      </c>
      <c r="AA121">
        <v>43682</v>
      </c>
      <c r="AB121" t="str">
        <v>SI</v>
      </c>
      <c r="AE121">
        <v>246</v>
      </c>
      <c r="AF121" t="str">
        <v>DESARROLLO</v>
      </c>
      <c r="AG121" t="str">
        <v>CLIENTE-0004</v>
      </c>
      <c r="AH121" t="str">
        <v>MADRID</v>
      </c>
      <c r="AI121">
        <v>200</v>
      </c>
      <c r="AJ121">
        <v>43940</v>
      </c>
      <c r="AK121" t="str">
        <v>SI</v>
      </c>
      <c r="AN121">
        <v>119</v>
      </c>
      <c r="AO121" t="str">
        <v>CONSULTORIA</v>
      </c>
      <c r="AP121" t="str">
        <v>CLIENTE-0006</v>
      </c>
      <c r="AQ121">
        <v>200</v>
      </c>
      <c r="AR121" t="str">
        <v>SI</v>
      </c>
    </row>
    <row r="122" spans="1:44">
      <c r="A122" s="2">
        <v>121</v>
      </c>
      <c r="B122" t="s">
        <v>13</v>
      </c>
      <c r="C122" t="s">
        <v>23</v>
      </c>
      <c r="D122" t="s">
        <v>24</v>
      </c>
      <c r="E122" s="3">
        <v>120</v>
      </c>
      <c r="F122" s="4">
        <v>44196</v>
      </c>
      <c r="G122" s="2" t="s">
        <v>12</v>
      </c>
      <c r="N122">
        <v>539</v>
      </c>
      <c r="O122" t="str">
        <v>DESARROLLO</v>
      </c>
      <c r="P122" t="str">
        <v>CLIENTE-0004</v>
      </c>
      <c r="Q122" t="str">
        <v>MADRID</v>
      </c>
      <c r="R122" s="10">
        <v>150</v>
      </c>
      <c r="S122">
        <v>44149</v>
      </c>
      <c r="T122" t="str">
        <v>NO</v>
      </c>
      <c r="V122">
        <v>290</v>
      </c>
      <c r="W122" t="str">
        <v>PROGRAMA</v>
      </c>
      <c r="X122" t="str">
        <v>CLIENTE-0001</v>
      </c>
      <c r="Y122" t="str">
        <v>MADRID</v>
      </c>
      <c r="Z122">
        <v>150</v>
      </c>
      <c r="AA122">
        <v>44126</v>
      </c>
      <c r="AB122" t="str">
        <v>SI</v>
      </c>
      <c r="AE122">
        <v>300</v>
      </c>
      <c r="AF122" t="str">
        <v>DESARROLLO</v>
      </c>
      <c r="AG122" t="str">
        <v>CLIENTE-0004</v>
      </c>
      <c r="AH122" t="str">
        <v>MADRID</v>
      </c>
      <c r="AI122">
        <v>200</v>
      </c>
      <c r="AJ122">
        <v>43864</v>
      </c>
      <c r="AK122" t="str">
        <v>SI</v>
      </c>
      <c r="AN122">
        <v>120</v>
      </c>
      <c r="AO122" t="str">
        <v>DESARROLLO</v>
      </c>
      <c r="AP122" t="str">
        <v>CLIENTE-0007</v>
      </c>
      <c r="AQ122">
        <v>150</v>
      </c>
      <c r="AR122" t="str">
        <v>SI</v>
      </c>
    </row>
    <row r="123" spans="1:44">
      <c r="A123" s="2">
        <v>122</v>
      </c>
      <c r="B123" t="s">
        <v>16</v>
      </c>
      <c r="C123" t="s">
        <v>25</v>
      </c>
      <c r="D123" t="s">
        <v>24</v>
      </c>
      <c r="E123" s="3">
        <v>300</v>
      </c>
      <c r="F123" s="4">
        <v>43615</v>
      </c>
      <c r="G123" s="2" t="s">
        <v>12</v>
      </c>
      <c r="N123">
        <v>545</v>
      </c>
      <c r="O123" t="str">
        <v>DESARROLLO</v>
      </c>
      <c r="P123" t="str">
        <v>CLIENTE-0010</v>
      </c>
      <c r="Q123" t="str">
        <v>MADRID</v>
      </c>
      <c r="R123" s="10">
        <v>150</v>
      </c>
      <c r="S123">
        <v>44155</v>
      </c>
      <c r="T123" t="str">
        <v>SI</v>
      </c>
      <c r="V123">
        <v>292</v>
      </c>
      <c r="W123" t="str">
        <v>EQUIPOS</v>
      </c>
      <c r="X123" t="str">
        <v>CLIENTE-0003</v>
      </c>
      <c r="Y123" t="str">
        <v>MADRID</v>
      </c>
      <c r="Z123">
        <v>300</v>
      </c>
      <c r="AA123">
        <v>43716</v>
      </c>
      <c r="AB123" t="str">
        <v>SI</v>
      </c>
      <c r="AE123">
        <v>17</v>
      </c>
      <c r="AF123" t="str">
        <v>DESARROLLO</v>
      </c>
      <c r="AG123" t="str">
        <v>CLIENTE-0002</v>
      </c>
      <c r="AH123" t="str">
        <v>ALICANTE</v>
      </c>
      <c r="AI123">
        <v>150</v>
      </c>
      <c r="AJ123">
        <v>43614</v>
      </c>
      <c r="AK123" t="str">
        <v>NO</v>
      </c>
      <c r="AN123">
        <v>121</v>
      </c>
      <c r="AO123" t="str">
        <v>PROYECTO</v>
      </c>
      <c r="AP123" t="str">
        <v>CLIENTE-0008</v>
      </c>
      <c r="AQ123">
        <v>120</v>
      </c>
      <c r="AR123" t="str">
        <v>SI</v>
      </c>
    </row>
    <row r="124" spans="1:44">
      <c r="A124" s="2">
        <v>123</v>
      </c>
      <c r="B124" t="s">
        <v>22</v>
      </c>
      <c r="C124" t="s">
        <v>26</v>
      </c>
      <c r="D124" t="s">
        <v>9</v>
      </c>
      <c r="E124" s="3">
        <v>350</v>
      </c>
      <c r="F124" s="4">
        <v>44524</v>
      </c>
      <c r="G124" s="2" t="s">
        <v>12</v>
      </c>
      <c r="N124">
        <v>550</v>
      </c>
      <c r="O124" t="str">
        <v>CONSULTORIA</v>
      </c>
      <c r="P124" t="str">
        <v>CLIENTE-0007</v>
      </c>
      <c r="Q124" t="str">
        <v>BARCELONA</v>
      </c>
      <c r="R124" s="10">
        <v>150</v>
      </c>
      <c r="S124">
        <v>44178</v>
      </c>
      <c r="T124" t="str">
        <v>NO</v>
      </c>
      <c r="V124">
        <v>293</v>
      </c>
      <c r="W124" t="str">
        <v>PROGRAMA</v>
      </c>
      <c r="X124" t="str">
        <v>CLIENTE-0004</v>
      </c>
      <c r="Y124" t="str">
        <v>MADRID</v>
      </c>
      <c r="Z124">
        <v>350</v>
      </c>
      <c r="AA124">
        <v>43500</v>
      </c>
      <c r="AB124" t="str">
        <v>SI</v>
      </c>
      <c r="AE124">
        <v>23</v>
      </c>
      <c r="AF124" t="str">
        <v>DESARROLLO</v>
      </c>
      <c r="AG124" t="str">
        <v>CLIENTE-0008</v>
      </c>
      <c r="AH124" t="str">
        <v>ALICANTE</v>
      </c>
      <c r="AI124">
        <v>150</v>
      </c>
      <c r="AJ124">
        <v>44502</v>
      </c>
      <c r="AK124" t="str">
        <v>SI</v>
      </c>
      <c r="AN124">
        <v>122</v>
      </c>
      <c r="AO124" t="str">
        <v>EQUIPOS</v>
      </c>
      <c r="AP124" t="str">
        <v>CLIENTE-0009</v>
      </c>
      <c r="AQ124">
        <v>300</v>
      </c>
      <c r="AR124" t="str">
        <v>SI</v>
      </c>
    </row>
    <row r="125" spans="1:44">
      <c r="A125" s="2">
        <v>124</v>
      </c>
      <c r="B125" t="s">
        <v>10</v>
      </c>
      <c r="C125" t="s">
        <v>27</v>
      </c>
      <c r="D125" t="s">
        <v>9</v>
      </c>
      <c r="E125" s="3">
        <v>300</v>
      </c>
      <c r="F125" s="4">
        <v>43639</v>
      </c>
      <c r="G125" s="2" t="s">
        <v>12</v>
      </c>
      <c r="N125">
        <v>556</v>
      </c>
      <c r="O125" t="str">
        <v>CONSULTORIA</v>
      </c>
      <c r="P125" t="str">
        <v>CLIENTE-0001</v>
      </c>
      <c r="Q125" t="str">
        <v>MADRID</v>
      </c>
      <c r="R125" s="10">
        <v>150</v>
      </c>
      <c r="S125">
        <v>43720</v>
      </c>
      <c r="T125" t="str">
        <v>SI</v>
      </c>
      <c r="V125">
        <v>299</v>
      </c>
      <c r="W125" t="str">
        <v>CONSULTORIA</v>
      </c>
      <c r="X125" t="str">
        <v>CLIENTE-0010</v>
      </c>
      <c r="Y125" t="str">
        <v>MADRID</v>
      </c>
      <c r="Z125">
        <v>300</v>
      </c>
      <c r="AA125">
        <v>44343</v>
      </c>
      <c r="AB125" t="str">
        <v>SI</v>
      </c>
      <c r="AE125">
        <v>120</v>
      </c>
      <c r="AF125" t="str">
        <v>DESARROLLO</v>
      </c>
      <c r="AG125" t="str">
        <v>CLIENTE-0007</v>
      </c>
      <c r="AH125" t="str">
        <v>BARCELONA</v>
      </c>
      <c r="AI125">
        <v>150</v>
      </c>
      <c r="AJ125">
        <v>44133</v>
      </c>
      <c r="AK125" t="str">
        <v>SI</v>
      </c>
      <c r="AN125">
        <v>123</v>
      </c>
      <c r="AO125" t="str">
        <v>CONSULTORIA</v>
      </c>
      <c r="AP125" t="str">
        <v>CLIENTE-0010</v>
      </c>
      <c r="AQ125">
        <v>350</v>
      </c>
      <c r="AR125" t="str">
        <v>SI</v>
      </c>
    </row>
    <row r="126" spans="1:44">
      <c r="A126" s="2">
        <v>125</v>
      </c>
      <c r="B126" t="s">
        <v>13</v>
      </c>
      <c r="C126" t="s">
        <v>26</v>
      </c>
      <c r="D126" t="s">
        <v>9</v>
      </c>
      <c r="E126" s="3">
        <v>120</v>
      </c>
      <c r="F126" s="4">
        <v>43946</v>
      </c>
      <c r="G126" s="2" t="s">
        <v>12</v>
      </c>
      <c r="N126">
        <v>585</v>
      </c>
      <c r="O126" t="str">
        <v>CONSULTORIA</v>
      </c>
      <c r="P126" t="str">
        <v>CLIENTE-0010</v>
      </c>
      <c r="Q126" t="str">
        <v>MADRID</v>
      </c>
      <c r="R126" s="10">
        <v>150</v>
      </c>
      <c r="S126">
        <v>43917</v>
      </c>
      <c r="T126" t="str">
        <v>SI</v>
      </c>
      <c r="V126">
        <v>300</v>
      </c>
      <c r="W126" t="str">
        <v>DESARROLLO</v>
      </c>
      <c r="X126" t="str">
        <v>CLIENTE-0004</v>
      </c>
      <c r="Y126" t="str">
        <v>MADRID</v>
      </c>
      <c r="Z126">
        <v>200</v>
      </c>
      <c r="AA126">
        <v>43864</v>
      </c>
      <c r="AB126" t="str">
        <v>SI</v>
      </c>
      <c r="AE126">
        <v>189</v>
      </c>
      <c r="AF126" t="str">
        <v>DESARROLLO</v>
      </c>
      <c r="AG126" t="str">
        <v>CLIENTE-0001</v>
      </c>
      <c r="AH126" t="str">
        <v>MADRID</v>
      </c>
      <c r="AI126">
        <v>150</v>
      </c>
      <c r="AJ126">
        <v>44303</v>
      </c>
      <c r="AK126" t="str">
        <v>SI</v>
      </c>
      <c r="AN126">
        <v>124</v>
      </c>
      <c r="AO126" t="str">
        <v>DESARROLLO</v>
      </c>
      <c r="AP126" t="str">
        <v>CLIENTE-0001</v>
      </c>
      <c r="AQ126">
        <v>300</v>
      </c>
      <c r="AR126" t="str">
        <v>SI</v>
      </c>
    </row>
    <row r="127" spans="1:44">
      <c r="A127" s="2">
        <v>126</v>
      </c>
      <c r="B127" t="s">
        <v>16</v>
      </c>
      <c r="C127" t="s">
        <v>27</v>
      </c>
      <c r="D127" t="s">
        <v>9</v>
      </c>
      <c r="E127" s="3">
        <v>150</v>
      </c>
      <c r="F127" s="4">
        <v>43470</v>
      </c>
      <c r="G127" s="2" t="s">
        <v>12</v>
      </c>
      <c r="N127">
        <v>591</v>
      </c>
      <c r="O127" t="str">
        <v>CONSULTORIA</v>
      </c>
      <c r="P127" t="str">
        <v>CLIENTE-0008</v>
      </c>
      <c r="Q127" t="str">
        <v>ALICANTE</v>
      </c>
      <c r="R127" s="10">
        <v>150</v>
      </c>
      <c r="S127">
        <v>43872</v>
      </c>
      <c r="T127" t="str">
        <v>SI</v>
      </c>
      <c r="V127">
        <v>307</v>
      </c>
      <c r="W127" t="str">
        <v>PROYECTO</v>
      </c>
      <c r="X127" t="str">
        <v>CLIENTE-0010</v>
      </c>
      <c r="Y127" t="str">
        <v>MADRID</v>
      </c>
      <c r="Z127">
        <v>150</v>
      </c>
      <c r="AA127">
        <v>43605</v>
      </c>
      <c r="AB127" t="str">
        <v>NO</v>
      </c>
      <c r="AE127">
        <v>224</v>
      </c>
      <c r="AF127" t="str">
        <v>DESARROLLO</v>
      </c>
      <c r="AG127" t="str">
        <v>CLIENTE-0007</v>
      </c>
      <c r="AH127" t="str">
        <v>BARCELONA</v>
      </c>
      <c r="AI127">
        <v>150</v>
      </c>
      <c r="AJ127">
        <v>43873</v>
      </c>
      <c r="AK127" t="str">
        <v>NO</v>
      </c>
      <c r="AN127">
        <v>125</v>
      </c>
      <c r="AO127" t="str">
        <v>PROYECTO</v>
      </c>
      <c r="AP127" t="str">
        <v>CLIENTE-0010</v>
      </c>
      <c r="AQ127">
        <v>120</v>
      </c>
      <c r="AR127" t="str">
        <v>SI</v>
      </c>
    </row>
    <row r="128" spans="1:44">
      <c r="A128" s="2">
        <v>127</v>
      </c>
      <c r="B128" t="s">
        <v>18</v>
      </c>
      <c r="C128" t="s">
        <v>29</v>
      </c>
      <c r="D128" t="s">
        <v>24</v>
      </c>
      <c r="E128" s="3">
        <v>1200</v>
      </c>
      <c r="F128" s="4">
        <v>43888</v>
      </c>
      <c r="G128" s="2" t="s">
        <v>12</v>
      </c>
      <c r="N128">
        <v>608</v>
      </c>
      <c r="O128" t="str">
        <v>PROGRAMA</v>
      </c>
      <c r="P128" t="str">
        <v>CLIENTE-0006</v>
      </c>
      <c r="Q128" t="str">
        <v>BARCELONA</v>
      </c>
      <c r="R128" s="10">
        <v>150</v>
      </c>
      <c r="S128">
        <v>43497</v>
      </c>
      <c r="T128" t="str">
        <v>NO</v>
      </c>
      <c r="V128">
        <v>308</v>
      </c>
      <c r="W128" t="str">
        <v>EQUIPOS</v>
      </c>
      <c r="X128" t="str">
        <v>CLIENTE-0001</v>
      </c>
      <c r="Y128" t="str">
        <v>MADRID</v>
      </c>
      <c r="Z128">
        <v>1200</v>
      </c>
      <c r="AA128">
        <v>43769</v>
      </c>
      <c r="AB128" t="str">
        <v>NO</v>
      </c>
      <c r="AE128">
        <v>230</v>
      </c>
      <c r="AF128" t="str">
        <v>DESARROLLO</v>
      </c>
      <c r="AG128" t="str">
        <v>CLIENTE-0007</v>
      </c>
      <c r="AH128" t="str">
        <v>BARCELONA</v>
      </c>
      <c r="AI128">
        <v>150</v>
      </c>
      <c r="AJ128">
        <v>44023</v>
      </c>
      <c r="AK128" t="str">
        <v>SI</v>
      </c>
      <c r="AN128">
        <v>126</v>
      </c>
      <c r="AO128" t="str">
        <v>EQUIPOS</v>
      </c>
      <c r="AP128" t="str">
        <v>CLIENTE-0001</v>
      </c>
      <c r="AQ128">
        <v>150</v>
      </c>
      <c r="AR128" t="str">
        <v>SI</v>
      </c>
    </row>
    <row r="129" spans="1:44">
      <c r="A129" s="2">
        <v>128</v>
      </c>
      <c r="B129" t="s">
        <v>20</v>
      </c>
      <c r="C129" t="s">
        <v>21</v>
      </c>
      <c r="D129" t="s">
        <v>9</v>
      </c>
      <c r="E129" s="3">
        <v>800</v>
      </c>
      <c r="F129" s="4">
        <v>44379</v>
      </c>
      <c r="G129" s="2" t="s">
        <v>12</v>
      </c>
      <c r="N129">
        <v>614</v>
      </c>
      <c r="O129" t="str">
        <v>CONSULTORIA</v>
      </c>
      <c r="P129" t="str">
        <v>CLIENTE-0006</v>
      </c>
      <c r="Q129" t="str">
        <v>BARCELONA</v>
      </c>
      <c r="R129" s="10">
        <v>150</v>
      </c>
      <c r="S129">
        <v>43845</v>
      </c>
      <c r="T129" t="str">
        <v>SI</v>
      </c>
      <c r="V129">
        <v>309</v>
      </c>
      <c r="W129" t="str">
        <v>PROGRAMA</v>
      </c>
      <c r="X129" t="str">
        <v>CLIENTE-0010</v>
      </c>
      <c r="Y129" t="str">
        <v>MADRID</v>
      </c>
      <c r="Z129">
        <v>800</v>
      </c>
      <c r="AA129">
        <v>43491</v>
      </c>
      <c r="AB129" t="str">
        <v>NO</v>
      </c>
      <c r="AE129">
        <v>258</v>
      </c>
      <c r="AF129" t="str">
        <v>DESARROLLO</v>
      </c>
      <c r="AG129" t="str">
        <v>CLIENTE-0003</v>
      </c>
      <c r="AH129" t="str">
        <v>MADRID</v>
      </c>
      <c r="AI129">
        <v>150</v>
      </c>
      <c r="AJ129">
        <v>44261</v>
      </c>
      <c r="AK129" t="str">
        <v>SI</v>
      </c>
      <c r="AN129">
        <v>127</v>
      </c>
      <c r="AO129" t="str">
        <v>PROGRAMA</v>
      </c>
      <c r="AP129" t="str">
        <v>CLIENTE-0002</v>
      </c>
      <c r="AQ129">
        <v>1200</v>
      </c>
      <c r="AR129" t="str">
        <v>SI</v>
      </c>
    </row>
    <row r="130" spans="1:44">
      <c r="A130" s="2">
        <v>129</v>
      </c>
      <c r="B130" t="s">
        <v>22</v>
      </c>
      <c r="C130" t="s">
        <v>11</v>
      </c>
      <c r="D130" t="s">
        <v>9</v>
      </c>
      <c r="E130" s="3">
        <v>750</v>
      </c>
      <c r="F130" s="4">
        <v>43664</v>
      </c>
      <c r="G130" s="2" t="s">
        <v>12</v>
      </c>
      <c r="N130">
        <v>619</v>
      </c>
      <c r="O130" t="str">
        <v>FORMACION</v>
      </c>
      <c r="P130" t="str">
        <v>CLIENTE-0001</v>
      </c>
      <c r="Q130" t="str">
        <v>MADRID</v>
      </c>
      <c r="R130" s="10">
        <v>150</v>
      </c>
      <c r="S130">
        <v>44008</v>
      </c>
      <c r="T130" t="str">
        <v>NO</v>
      </c>
      <c r="V130">
        <v>310</v>
      </c>
      <c r="W130" t="str">
        <v>FORMACION</v>
      </c>
      <c r="X130" t="str">
        <v>CLIENTE-0001</v>
      </c>
      <c r="Y130" t="str">
        <v>MADRID</v>
      </c>
      <c r="Z130">
        <v>750</v>
      </c>
      <c r="AA130">
        <v>44079</v>
      </c>
      <c r="AB130" t="str">
        <v>NO</v>
      </c>
      <c r="AE130">
        <v>264</v>
      </c>
      <c r="AF130" t="str">
        <v>DESARROLLO</v>
      </c>
      <c r="AG130" t="str">
        <v>CLIENTE-0009</v>
      </c>
      <c r="AH130" t="str">
        <v>ALICANTE</v>
      </c>
      <c r="AI130">
        <v>150</v>
      </c>
      <c r="AJ130">
        <v>44317</v>
      </c>
      <c r="AK130" t="str">
        <v>SI</v>
      </c>
      <c r="AN130">
        <v>128</v>
      </c>
      <c r="AO130" t="str">
        <v>FORMACION</v>
      </c>
      <c r="AP130" t="str">
        <v>CLIENTE-0003</v>
      </c>
      <c r="AQ130">
        <v>800</v>
      </c>
      <c r="AR130" t="str">
        <v>SI</v>
      </c>
    </row>
    <row r="131" spans="1:44">
      <c r="A131" s="2">
        <v>130</v>
      </c>
      <c r="B131" t="s">
        <v>10</v>
      </c>
      <c r="C131" t="s">
        <v>14</v>
      </c>
      <c r="D131" t="s">
        <v>15</v>
      </c>
      <c r="E131" s="3">
        <v>4500</v>
      </c>
      <c r="F131" s="4">
        <v>44173</v>
      </c>
      <c r="G131" s="2" t="s">
        <v>12</v>
      </c>
      <c r="N131">
        <v>625</v>
      </c>
      <c r="O131" t="str">
        <v>FORMACION</v>
      </c>
      <c r="P131" t="str">
        <v>CLIENTE-0005</v>
      </c>
      <c r="Q131" t="str">
        <v>BARCELONA</v>
      </c>
      <c r="R131" s="10">
        <v>150</v>
      </c>
      <c r="S131">
        <v>43591</v>
      </c>
      <c r="T131" t="str">
        <v>SI</v>
      </c>
      <c r="V131">
        <v>312</v>
      </c>
      <c r="W131" t="str">
        <v>DESARROLLO</v>
      </c>
      <c r="X131" t="str">
        <v>CLIENTE-0003</v>
      </c>
      <c r="Y131" t="str">
        <v>MADRID</v>
      </c>
      <c r="Z131">
        <v>500</v>
      </c>
      <c r="AA131">
        <v>44556</v>
      </c>
      <c r="AB131" t="str">
        <v>SI</v>
      </c>
      <c r="AE131">
        <v>296</v>
      </c>
      <c r="AF131" t="str">
        <v>DESARROLLO</v>
      </c>
      <c r="AG131" t="str">
        <v>CLIENTE-0007</v>
      </c>
      <c r="AH131" t="str">
        <v>BARCELONA</v>
      </c>
      <c r="AI131">
        <v>150</v>
      </c>
      <c r="AJ131">
        <v>43774</v>
      </c>
      <c r="AK131" t="str">
        <v>SI</v>
      </c>
      <c r="AN131">
        <v>129</v>
      </c>
      <c r="AO131" t="str">
        <v>CONSULTORIA</v>
      </c>
      <c r="AP131" t="str">
        <v>CLIENTE-0004</v>
      </c>
      <c r="AQ131">
        <v>750</v>
      </c>
      <c r="AR131" t="str">
        <v>SI</v>
      </c>
    </row>
    <row r="132" spans="1:44">
      <c r="A132" s="2">
        <v>131</v>
      </c>
      <c r="B132" t="s">
        <v>13</v>
      </c>
      <c r="C132" t="s">
        <v>17</v>
      </c>
      <c r="D132" t="s">
        <v>15</v>
      </c>
      <c r="E132" s="3">
        <v>500</v>
      </c>
      <c r="F132" s="4">
        <v>43918</v>
      </c>
      <c r="G132" s="2" t="s">
        <v>12</v>
      </c>
      <c r="N132">
        <v>635</v>
      </c>
      <c r="O132" t="str">
        <v>EQUIPOS</v>
      </c>
      <c r="P132" t="str">
        <v>CLIENTE-0007</v>
      </c>
      <c r="Q132" t="str">
        <v>BARCELONA</v>
      </c>
      <c r="R132" s="10">
        <v>150</v>
      </c>
      <c r="S132">
        <v>44359</v>
      </c>
      <c r="T132" t="str">
        <v>SI</v>
      </c>
      <c r="V132">
        <v>313</v>
      </c>
      <c r="W132" t="str">
        <v>PROYECTO</v>
      </c>
      <c r="X132" t="str">
        <v>CLIENTE-0004</v>
      </c>
      <c r="Y132" t="str">
        <v>MADRID</v>
      </c>
      <c r="Z132">
        <v>750</v>
      </c>
      <c r="AA132">
        <v>43721</v>
      </c>
      <c r="AB132" t="str">
        <v>SI</v>
      </c>
      <c r="AE132">
        <v>401</v>
      </c>
      <c r="AF132" t="str">
        <v>DESARROLLO</v>
      </c>
      <c r="AG132" t="str">
        <v>CLIENTE-0001</v>
      </c>
      <c r="AH132" t="str">
        <v>MADRID</v>
      </c>
      <c r="AI132">
        <v>150</v>
      </c>
      <c r="AJ132">
        <v>43770</v>
      </c>
      <c r="AK132" t="str">
        <v>SI</v>
      </c>
      <c r="AN132">
        <v>130</v>
      </c>
      <c r="AO132" t="str">
        <v>DESARROLLO</v>
      </c>
      <c r="AP132" t="str">
        <v>CLIENTE-0005</v>
      </c>
      <c r="AQ132">
        <v>4500</v>
      </c>
      <c r="AR132" t="str">
        <v>SI</v>
      </c>
    </row>
    <row r="133" spans="1:44">
      <c r="A133" s="2">
        <v>132</v>
      </c>
      <c r="B133" t="s">
        <v>16</v>
      </c>
      <c r="C133" t="s">
        <v>19</v>
      </c>
      <c r="D133" t="s">
        <v>15</v>
      </c>
      <c r="E133" s="3">
        <v>750</v>
      </c>
      <c r="F133" s="4">
        <v>44391</v>
      </c>
      <c r="G133" s="2" t="s">
        <v>12</v>
      </c>
      <c r="N133">
        <v>652</v>
      </c>
      <c r="O133" t="str">
        <v>PROGRAMA</v>
      </c>
      <c r="P133" t="str">
        <v>CLIENTE-0010</v>
      </c>
      <c r="Q133" t="str">
        <v>MADRID</v>
      </c>
      <c r="R133" s="10">
        <v>150</v>
      </c>
      <c r="S133">
        <v>43789</v>
      </c>
      <c r="T133" t="str">
        <v>SI</v>
      </c>
      <c r="V133">
        <v>319</v>
      </c>
      <c r="W133" t="str">
        <v>PROYECTO</v>
      </c>
      <c r="X133" t="str">
        <v>CLIENTE-0010</v>
      </c>
      <c r="Y133" t="str">
        <v>MADRID</v>
      </c>
      <c r="Z133">
        <v>6500</v>
      </c>
      <c r="AA133">
        <v>43727</v>
      </c>
      <c r="AB133" t="str">
        <v>NO</v>
      </c>
      <c r="AE133">
        <v>407</v>
      </c>
      <c r="AF133" t="str">
        <v>DESARROLLO</v>
      </c>
      <c r="AG133" t="str">
        <v>CLIENTE-0007</v>
      </c>
      <c r="AH133" t="str">
        <v>BARCELONA</v>
      </c>
      <c r="AI133">
        <v>150</v>
      </c>
      <c r="AJ133">
        <v>44050</v>
      </c>
      <c r="AK133" t="str">
        <v>SI</v>
      </c>
      <c r="AN133">
        <v>131</v>
      </c>
      <c r="AO133" t="str">
        <v>PROYECTO</v>
      </c>
      <c r="AP133" t="str">
        <v>CLIENTE-0006</v>
      </c>
      <c r="AQ133">
        <v>500</v>
      </c>
      <c r="AR133" t="str">
        <v>SI</v>
      </c>
    </row>
    <row r="134" spans="1:44">
      <c r="A134" s="2">
        <v>133</v>
      </c>
      <c r="B134" t="s">
        <v>18</v>
      </c>
      <c r="C134" t="s">
        <v>23</v>
      </c>
      <c r="D134" t="s">
        <v>24</v>
      </c>
      <c r="E134" s="3">
        <v>950</v>
      </c>
      <c r="F134" s="4">
        <v>44255</v>
      </c>
      <c r="G134" s="2" t="s">
        <v>12</v>
      </c>
      <c r="N134">
        <v>658</v>
      </c>
      <c r="O134" t="str">
        <v>PROGRAMA</v>
      </c>
      <c r="P134" t="str">
        <v>CLIENTE-0004</v>
      </c>
      <c r="Q134" t="str">
        <v>MADRID</v>
      </c>
      <c r="R134" s="10">
        <v>150</v>
      </c>
      <c r="S134">
        <v>43830</v>
      </c>
      <c r="T134" t="str">
        <v>SI</v>
      </c>
      <c r="V134">
        <v>320</v>
      </c>
      <c r="W134" t="str">
        <v>EQUIPOS</v>
      </c>
      <c r="X134" t="str">
        <v>CLIENTE-0004</v>
      </c>
      <c r="Y134" t="str">
        <v>MADRID</v>
      </c>
      <c r="Z134">
        <v>1200</v>
      </c>
      <c r="AA134">
        <v>44358</v>
      </c>
      <c r="AB134" t="str">
        <v>NO</v>
      </c>
      <c r="AE134">
        <v>539</v>
      </c>
      <c r="AF134" t="str">
        <v>DESARROLLO</v>
      </c>
      <c r="AG134" t="str">
        <v>CLIENTE-0004</v>
      </c>
      <c r="AH134" t="str">
        <v>MADRID</v>
      </c>
      <c r="AI134">
        <v>150</v>
      </c>
      <c r="AJ134">
        <v>44149</v>
      </c>
      <c r="AK134" t="str">
        <v>NO</v>
      </c>
      <c r="AN134">
        <v>132</v>
      </c>
      <c r="AO134" t="str">
        <v>EQUIPOS</v>
      </c>
      <c r="AP134" t="str">
        <v>CLIENTE-0007</v>
      </c>
      <c r="AQ134">
        <v>750</v>
      </c>
      <c r="AR134" t="str">
        <v>SI</v>
      </c>
    </row>
    <row r="135" spans="1:44">
      <c r="A135" s="2">
        <v>134</v>
      </c>
      <c r="B135" t="s">
        <v>20</v>
      </c>
      <c r="C135" t="s">
        <v>25</v>
      </c>
      <c r="D135" t="s">
        <v>24</v>
      </c>
      <c r="E135" s="3">
        <v>680</v>
      </c>
      <c r="F135" s="4">
        <v>43521</v>
      </c>
      <c r="G135" s="2" t="s">
        <v>12</v>
      </c>
      <c r="N135">
        <v>663</v>
      </c>
      <c r="O135" t="str">
        <v>EQUIPOS</v>
      </c>
      <c r="P135" t="str">
        <v>CLIENTE-0008</v>
      </c>
      <c r="Q135" t="str">
        <v>ALICANTE</v>
      </c>
      <c r="R135" s="10">
        <v>150</v>
      </c>
      <c r="S135">
        <v>44433</v>
      </c>
      <c r="T135" t="str">
        <v>SI</v>
      </c>
      <c r="V135">
        <v>327</v>
      </c>
      <c r="W135" t="str">
        <v>PROGRAMA</v>
      </c>
      <c r="X135" t="str">
        <v>CLIENTE-0010</v>
      </c>
      <c r="Y135" t="str">
        <v>MADRID</v>
      </c>
      <c r="Z135">
        <v>680</v>
      </c>
      <c r="AA135">
        <v>44302</v>
      </c>
      <c r="AB135" t="str">
        <v>SI</v>
      </c>
      <c r="AE135">
        <v>545</v>
      </c>
      <c r="AF135" t="str">
        <v>DESARROLLO</v>
      </c>
      <c r="AG135" t="str">
        <v>CLIENTE-0010</v>
      </c>
      <c r="AH135" t="str">
        <v>MADRID</v>
      </c>
      <c r="AI135">
        <v>150</v>
      </c>
      <c r="AJ135">
        <v>44155</v>
      </c>
      <c r="AK135" t="str">
        <v>SI</v>
      </c>
      <c r="AN135">
        <v>133</v>
      </c>
      <c r="AO135" t="str">
        <v>PROGRAMA</v>
      </c>
      <c r="AP135" t="str">
        <v>CLIENTE-0008</v>
      </c>
      <c r="AQ135">
        <v>950</v>
      </c>
      <c r="AR135" t="str">
        <v>SI</v>
      </c>
    </row>
    <row r="136" spans="1:44">
      <c r="A136" s="2">
        <v>135</v>
      </c>
      <c r="B136" t="s">
        <v>22</v>
      </c>
      <c r="C136" t="s">
        <v>26</v>
      </c>
      <c r="D136" t="s">
        <v>9</v>
      </c>
      <c r="E136" s="3">
        <v>950</v>
      </c>
      <c r="F136" s="4">
        <v>44331</v>
      </c>
      <c r="G136" s="2" t="s">
        <v>12</v>
      </c>
      <c r="N136">
        <v>671</v>
      </c>
      <c r="O136" t="str">
        <v>PROGRAMA</v>
      </c>
      <c r="P136" t="str">
        <v>CLIENTE-0004</v>
      </c>
      <c r="Q136" t="str">
        <v>MADRID</v>
      </c>
      <c r="R136" s="10">
        <v>150</v>
      </c>
      <c r="S136">
        <v>44376</v>
      </c>
      <c r="T136" t="str">
        <v>NO</v>
      </c>
      <c r="V136">
        <v>328</v>
      </c>
      <c r="W136" t="str">
        <v>FORMACION</v>
      </c>
      <c r="X136" t="str">
        <v>CLIENTE-0001</v>
      </c>
      <c r="Y136" t="str">
        <v>MADRID</v>
      </c>
      <c r="Z136">
        <v>950</v>
      </c>
      <c r="AA136">
        <v>44411</v>
      </c>
      <c r="AB136" t="str">
        <v>SI</v>
      </c>
      <c r="AE136">
        <v>183</v>
      </c>
      <c r="AF136" t="str">
        <v>DESARROLLO</v>
      </c>
      <c r="AG136" t="str">
        <v>CLIENTE-0005</v>
      </c>
      <c r="AH136" t="str">
        <v>BARCELONA</v>
      </c>
      <c r="AI136">
        <v>120</v>
      </c>
      <c r="AJ136">
        <v>44139</v>
      </c>
      <c r="AK136" t="str">
        <v>NO</v>
      </c>
      <c r="AN136">
        <v>134</v>
      </c>
      <c r="AO136" t="str">
        <v>FORMACION</v>
      </c>
      <c r="AP136" t="str">
        <v>CLIENTE-0009</v>
      </c>
      <c r="AQ136">
        <v>680</v>
      </c>
      <c r="AR136" t="str">
        <v>SI</v>
      </c>
    </row>
    <row r="137" spans="1:44">
      <c r="A137" s="2">
        <v>136</v>
      </c>
      <c r="B137" t="s">
        <v>10</v>
      </c>
      <c r="C137" t="s">
        <v>11</v>
      </c>
      <c r="D137" t="s">
        <v>9</v>
      </c>
      <c r="E137" s="3">
        <v>1500</v>
      </c>
      <c r="F137" s="4">
        <v>44356</v>
      </c>
      <c r="G137" s="2" t="s">
        <v>12</v>
      </c>
      <c r="N137">
        <v>677</v>
      </c>
      <c r="O137" t="str">
        <v>CONSULTORIA</v>
      </c>
      <c r="P137" t="str">
        <v>CLIENTE-0010</v>
      </c>
      <c r="Q137" t="str">
        <v>MADRID</v>
      </c>
      <c r="R137" s="10">
        <v>150</v>
      </c>
      <c r="S137">
        <v>43742</v>
      </c>
      <c r="T137" t="str">
        <v>NO</v>
      </c>
      <c r="V137">
        <v>329</v>
      </c>
      <c r="W137" t="str">
        <v>CONSULTORIA</v>
      </c>
      <c r="X137" t="str">
        <v>CLIENTE-0010</v>
      </c>
      <c r="Y137" t="str">
        <v>MADRID</v>
      </c>
      <c r="Z137">
        <v>1500</v>
      </c>
      <c r="AA137">
        <v>43797</v>
      </c>
      <c r="AB137" t="str">
        <v>SI</v>
      </c>
      <c r="AE137">
        <v>252</v>
      </c>
      <c r="AF137" t="str">
        <v>DESARROLLO</v>
      </c>
      <c r="AG137" t="str">
        <v>CLIENTE-0009</v>
      </c>
      <c r="AH137" t="str">
        <v>ALICANTE</v>
      </c>
      <c r="AI137">
        <v>120</v>
      </c>
      <c r="AJ137">
        <v>44143</v>
      </c>
      <c r="AK137" t="str">
        <v>NO</v>
      </c>
      <c r="AN137">
        <v>135</v>
      </c>
      <c r="AO137" t="str">
        <v>CONSULTORIA</v>
      </c>
      <c r="AP137" t="str">
        <v>CLIENTE-0010</v>
      </c>
      <c r="AQ137">
        <v>950</v>
      </c>
      <c r="AR137" t="str">
        <v>SI</v>
      </c>
    </row>
    <row r="138" spans="1:44">
      <c r="A138" s="2">
        <v>137</v>
      </c>
      <c r="B138" t="s">
        <v>13</v>
      </c>
      <c r="C138" t="s">
        <v>14</v>
      </c>
      <c r="D138" t="s">
        <v>15</v>
      </c>
      <c r="E138" s="3">
        <v>5000</v>
      </c>
      <c r="F138" s="4">
        <v>44195</v>
      </c>
      <c r="G138" s="2" t="s">
        <v>12</v>
      </c>
      <c r="N138">
        <v>694</v>
      </c>
      <c r="O138" t="str">
        <v>FORMACION</v>
      </c>
      <c r="P138" t="str">
        <v>CLIENTE-0002</v>
      </c>
      <c r="Q138" t="str">
        <v>ALICANTE</v>
      </c>
      <c r="R138" s="10">
        <v>150</v>
      </c>
      <c r="S138">
        <v>44460</v>
      </c>
      <c r="T138" t="str">
        <v>SI</v>
      </c>
      <c r="V138">
        <v>330</v>
      </c>
      <c r="W138" t="str">
        <v>DESARROLLO</v>
      </c>
      <c r="X138" t="str">
        <v>CLIENTE-0001</v>
      </c>
      <c r="Y138" t="str">
        <v>MADRID</v>
      </c>
      <c r="Z138">
        <v>5000</v>
      </c>
      <c r="AA138">
        <v>44459</v>
      </c>
      <c r="AB138" t="str">
        <v>SI</v>
      </c>
      <c r="AE138">
        <v>306</v>
      </c>
      <c r="AF138" t="str">
        <v>DESARROLLO</v>
      </c>
      <c r="AG138" t="str">
        <v>CLIENTE-0009</v>
      </c>
      <c r="AH138" t="str">
        <v>ALICANTE</v>
      </c>
      <c r="AI138">
        <v>120</v>
      </c>
      <c r="AJ138">
        <v>43639</v>
      </c>
      <c r="AK138" t="str">
        <v>NO</v>
      </c>
      <c r="AN138">
        <v>136</v>
      </c>
      <c r="AO138" t="str">
        <v>DESARROLLO</v>
      </c>
      <c r="AP138" t="str">
        <v>CLIENTE-0004</v>
      </c>
      <c r="AQ138">
        <v>1500</v>
      </c>
      <c r="AR138" t="str">
        <v>SI</v>
      </c>
    </row>
    <row r="139" spans="1:44">
      <c r="A139" s="2">
        <v>138</v>
      </c>
      <c r="B139" t="s">
        <v>16</v>
      </c>
      <c r="C139" t="s">
        <v>17</v>
      </c>
      <c r="D139" t="s">
        <v>15</v>
      </c>
      <c r="E139" s="3">
        <v>6500</v>
      </c>
      <c r="F139" s="4">
        <v>43653</v>
      </c>
      <c r="G139" s="2" t="s">
        <v>12</v>
      </c>
      <c r="N139">
        <v>700</v>
      </c>
      <c r="O139" t="str">
        <v>FORMACION</v>
      </c>
      <c r="P139" t="str">
        <v>CLIENTE-0008</v>
      </c>
      <c r="Q139" t="str">
        <v>ALICANTE</v>
      </c>
      <c r="R139" s="10">
        <v>150</v>
      </c>
      <c r="S139">
        <v>43469</v>
      </c>
      <c r="T139" t="str">
        <v>NO</v>
      </c>
      <c r="V139">
        <v>332</v>
      </c>
      <c r="W139" t="str">
        <v>EQUIPOS</v>
      </c>
      <c r="X139" t="str">
        <v>CLIENTE-0003</v>
      </c>
      <c r="Y139" t="str">
        <v>MADRID</v>
      </c>
      <c r="Z139">
        <v>8500</v>
      </c>
      <c r="AA139">
        <v>43779</v>
      </c>
      <c r="AB139" t="str">
        <v>SI</v>
      </c>
      <c r="AE139">
        <v>379</v>
      </c>
      <c r="AF139" t="str">
        <v>DESARROLLO</v>
      </c>
      <c r="AG139" t="str">
        <v>CLIENTE-0005</v>
      </c>
      <c r="AH139" t="str">
        <v>BARCELONA</v>
      </c>
      <c r="AI139">
        <v>120</v>
      </c>
      <c r="AJ139">
        <v>44265</v>
      </c>
      <c r="AK139" t="str">
        <v>NO</v>
      </c>
      <c r="AN139">
        <v>137</v>
      </c>
      <c r="AO139" t="str">
        <v>PROYECTO</v>
      </c>
      <c r="AP139" t="str">
        <v>CLIENTE-0005</v>
      </c>
      <c r="AQ139">
        <v>5000</v>
      </c>
      <c r="AR139" t="str">
        <v>SI</v>
      </c>
    </row>
    <row r="140" spans="1:44">
      <c r="A140" s="2">
        <v>139</v>
      </c>
      <c r="B140" t="s">
        <v>18</v>
      </c>
      <c r="C140" t="s">
        <v>19</v>
      </c>
      <c r="D140" t="s">
        <v>15</v>
      </c>
      <c r="E140" s="3">
        <v>1200</v>
      </c>
      <c r="F140" s="4">
        <v>44516</v>
      </c>
      <c r="G140" s="2" t="s">
        <v>28</v>
      </c>
      <c r="N140">
        <v>705</v>
      </c>
      <c r="O140" t="str">
        <v>PROGRAMA</v>
      </c>
      <c r="P140" t="str">
        <v>CLIENTE-0005</v>
      </c>
      <c r="Q140" t="str">
        <v>BARCELONA</v>
      </c>
      <c r="R140" s="10">
        <v>150</v>
      </c>
      <c r="S140">
        <v>44283</v>
      </c>
      <c r="T140" t="str">
        <v>NO</v>
      </c>
      <c r="V140">
        <v>333</v>
      </c>
      <c r="W140" t="str">
        <v>CONSULTORIA</v>
      </c>
      <c r="X140" t="str">
        <v>CLIENTE-0004</v>
      </c>
      <c r="Y140" t="str">
        <v>MADRID</v>
      </c>
      <c r="Z140">
        <v>1200</v>
      </c>
      <c r="AA140">
        <v>43879</v>
      </c>
      <c r="AB140" t="str">
        <v>SI</v>
      </c>
      <c r="AE140">
        <v>413</v>
      </c>
      <c r="AF140" t="str">
        <v>DESARROLLO</v>
      </c>
      <c r="AG140" t="str">
        <v>CLIENTE-0005</v>
      </c>
      <c r="AH140" t="str">
        <v>BARCELONA</v>
      </c>
      <c r="AI140">
        <v>120</v>
      </c>
      <c r="AJ140">
        <v>44434</v>
      </c>
      <c r="AK140" t="str">
        <v>NO</v>
      </c>
      <c r="AN140">
        <v>138</v>
      </c>
      <c r="AO140" t="str">
        <v>EQUIPOS</v>
      </c>
      <c r="AP140" t="str">
        <v>CLIENTE-0006</v>
      </c>
      <c r="AQ140">
        <v>6500</v>
      </c>
      <c r="AR140" t="str">
        <v>SI</v>
      </c>
    </row>
    <row r="141" spans="1:44">
      <c r="A141" s="2">
        <v>140</v>
      </c>
      <c r="B141" t="s">
        <v>20</v>
      </c>
      <c r="C141" t="s">
        <v>21</v>
      </c>
      <c r="D141" t="s">
        <v>9</v>
      </c>
      <c r="E141" s="3">
        <v>800</v>
      </c>
      <c r="F141" s="4">
        <v>44199</v>
      </c>
      <c r="G141" s="2" t="s">
        <v>28</v>
      </c>
      <c r="N141">
        <v>711</v>
      </c>
      <c r="O141" t="str">
        <v>CONSULTORIA</v>
      </c>
      <c r="P141" t="str">
        <v>CLIENTE-0001</v>
      </c>
      <c r="Q141" t="str">
        <v>MADRID</v>
      </c>
      <c r="R141" s="10">
        <v>150</v>
      </c>
      <c r="S141">
        <v>43945</v>
      </c>
      <c r="T141" t="str">
        <v>SI</v>
      </c>
      <c r="V141">
        <v>339</v>
      </c>
      <c r="W141" t="str">
        <v>CONSULTORIA</v>
      </c>
      <c r="X141" t="str">
        <v>CLIENTE-0010</v>
      </c>
      <c r="Y141" t="str">
        <v>MADRID</v>
      </c>
      <c r="Z141">
        <v>350</v>
      </c>
      <c r="AA141">
        <v>43734</v>
      </c>
      <c r="AB141" t="str">
        <v>SI</v>
      </c>
      <c r="AE141">
        <v>551</v>
      </c>
      <c r="AF141" t="str">
        <v>DESARROLLO</v>
      </c>
      <c r="AG141" t="str">
        <v>CLIENTE-0008</v>
      </c>
      <c r="AH141" t="str">
        <v>ALICANTE</v>
      </c>
      <c r="AI141">
        <v>120</v>
      </c>
      <c r="AJ141">
        <v>44555</v>
      </c>
      <c r="AK141" t="str">
        <v>NO</v>
      </c>
      <c r="AN141">
        <v>139</v>
      </c>
      <c r="AO141" t="str">
        <v>PROGRAMA</v>
      </c>
      <c r="AP141" t="str">
        <v>CLIENTE-0007</v>
      </c>
      <c r="AQ141">
        <v>1200</v>
      </c>
      <c r="AR141" t="str">
        <v>NO</v>
      </c>
    </row>
    <row r="142" spans="1:44">
      <c r="A142" s="2">
        <v>141</v>
      </c>
      <c r="B142" t="s">
        <v>22</v>
      </c>
      <c r="C142" t="s">
        <v>11</v>
      </c>
      <c r="D142" t="s">
        <v>9</v>
      </c>
      <c r="E142" s="3">
        <v>750</v>
      </c>
      <c r="F142" s="4">
        <v>43712</v>
      </c>
      <c r="G142" s="2" t="s">
        <v>28</v>
      </c>
      <c r="N142">
        <v>736</v>
      </c>
      <c r="O142" t="str">
        <v>CONSULTORIA</v>
      </c>
      <c r="P142" t="str">
        <v>CLIENTE-0005</v>
      </c>
      <c r="Q142" t="str">
        <v>BARCELONA</v>
      </c>
      <c r="R142" s="10">
        <v>150</v>
      </c>
      <c r="S142">
        <v>44110</v>
      </c>
      <c r="T142" t="str">
        <v>SI</v>
      </c>
      <c r="V142">
        <v>340</v>
      </c>
      <c r="W142" t="str">
        <v>DESARROLLO</v>
      </c>
      <c r="X142" t="str">
        <v>CLIENTE-0004</v>
      </c>
      <c r="Y142" t="str">
        <v>MADRID</v>
      </c>
      <c r="Z142">
        <v>300</v>
      </c>
      <c r="AA142">
        <v>44155</v>
      </c>
      <c r="AB142" t="str">
        <v>SI</v>
      </c>
      <c r="AE142">
        <v>586</v>
      </c>
      <c r="AF142" t="str">
        <v>DESARROLLO</v>
      </c>
      <c r="AG142" t="str">
        <v>CLIENTE-0004</v>
      </c>
      <c r="AH142" t="str">
        <v>MADRID</v>
      </c>
      <c r="AI142">
        <v>120</v>
      </c>
      <c r="AJ142">
        <v>44215</v>
      </c>
      <c r="AK142" t="str">
        <v>SI</v>
      </c>
      <c r="AN142">
        <v>140</v>
      </c>
      <c r="AO142" t="str">
        <v>FORMACION</v>
      </c>
      <c r="AP142" t="str">
        <v>CLIENTE-0003</v>
      </c>
      <c r="AQ142">
        <v>800</v>
      </c>
      <c r="AR142" t="str">
        <v>NO</v>
      </c>
    </row>
    <row r="143" spans="1:44">
      <c r="A143" s="2">
        <v>142</v>
      </c>
      <c r="B143" t="s">
        <v>10</v>
      </c>
      <c r="C143" t="s">
        <v>14</v>
      </c>
      <c r="D143" t="s">
        <v>15</v>
      </c>
      <c r="E143" s="3">
        <v>4500</v>
      </c>
      <c r="F143" s="4">
        <v>44254</v>
      </c>
      <c r="G143" s="2" t="s">
        <v>28</v>
      </c>
      <c r="N143">
        <v>742</v>
      </c>
      <c r="O143" t="str">
        <v>CONSULTORIA</v>
      </c>
      <c r="P143" t="str">
        <v>CLIENTE-0007</v>
      </c>
      <c r="Q143" t="str">
        <v>BARCELONA</v>
      </c>
      <c r="R143" s="10">
        <v>150</v>
      </c>
      <c r="S143">
        <v>44335</v>
      </c>
      <c r="T143" t="str">
        <v>NO</v>
      </c>
      <c r="V143">
        <v>344</v>
      </c>
      <c r="W143" t="str">
        <v>FORMACION</v>
      </c>
      <c r="X143" t="str">
        <v>CLIENTE-0003</v>
      </c>
      <c r="Y143" t="str">
        <v>MADRID</v>
      </c>
      <c r="Z143">
        <v>800</v>
      </c>
      <c r="AA143">
        <v>43485</v>
      </c>
      <c r="AB143" t="str">
        <v>SI</v>
      </c>
      <c r="AE143">
        <v>737</v>
      </c>
      <c r="AF143" t="str">
        <v>DESARROLLO</v>
      </c>
      <c r="AG143" t="str">
        <v>CLIENTE-0005</v>
      </c>
      <c r="AH143" t="str">
        <v>BARCELONA</v>
      </c>
      <c r="AI143">
        <v>120</v>
      </c>
      <c r="AJ143">
        <v>44306</v>
      </c>
      <c r="AK143" t="str">
        <v>SI</v>
      </c>
      <c r="AN143">
        <v>141</v>
      </c>
      <c r="AO143" t="str">
        <v>CONSULTORIA</v>
      </c>
      <c r="AP143" t="str">
        <v>CLIENTE-0004</v>
      </c>
      <c r="AQ143">
        <v>750</v>
      </c>
      <c r="AR143" t="str">
        <v>NO</v>
      </c>
    </row>
    <row r="144" spans="1:44">
      <c r="A144" s="2">
        <v>143</v>
      </c>
      <c r="B144" t="s">
        <v>13</v>
      </c>
      <c r="C144" t="s">
        <v>14</v>
      </c>
      <c r="D144" t="s">
        <v>15</v>
      </c>
      <c r="E144" s="3">
        <v>500</v>
      </c>
      <c r="F144" s="4">
        <v>43906</v>
      </c>
      <c r="G144" s="2" t="s">
        <v>28</v>
      </c>
      <c r="N144">
        <v>759</v>
      </c>
      <c r="O144" t="str">
        <v>PROGRAMA</v>
      </c>
      <c r="P144" t="str">
        <v>CLIENTE-0006</v>
      </c>
      <c r="Q144" t="str">
        <v>BARCELONA</v>
      </c>
      <c r="R144" s="10">
        <v>150</v>
      </c>
      <c r="S144">
        <v>43517</v>
      </c>
      <c r="T144" t="str">
        <v>SI</v>
      </c>
      <c r="V144">
        <v>345</v>
      </c>
      <c r="W144" t="str">
        <v>CONSULTORIA</v>
      </c>
      <c r="X144" t="str">
        <v>CLIENTE-0004</v>
      </c>
      <c r="Y144" t="str">
        <v>MADRID</v>
      </c>
      <c r="Z144">
        <v>750</v>
      </c>
      <c r="AA144">
        <v>43697</v>
      </c>
      <c r="AB144" t="str">
        <v>SI</v>
      </c>
      <c r="AN144">
        <v>142</v>
      </c>
      <c r="AO144" t="str">
        <v>DESARROLLO</v>
      </c>
      <c r="AP144" t="str">
        <v>CLIENTE-0005</v>
      </c>
      <c r="AQ144">
        <v>4500</v>
      </c>
      <c r="AR144" t="str">
        <v>NO</v>
      </c>
    </row>
    <row r="145" spans="1:44">
      <c r="A145" s="2">
        <v>144</v>
      </c>
      <c r="B145" t="s">
        <v>16</v>
      </c>
      <c r="C145" t="s">
        <v>17</v>
      </c>
      <c r="D145" t="s">
        <v>15</v>
      </c>
      <c r="E145" s="3">
        <v>750</v>
      </c>
      <c r="F145" s="4">
        <v>44112</v>
      </c>
      <c r="G145" s="2" t="s">
        <v>28</v>
      </c>
      <c r="N145">
        <v>765</v>
      </c>
      <c r="O145" t="str">
        <v>CONSULTORIA</v>
      </c>
      <c r="P145" t="str">
        <v>CLIENTE-0005</v>
      </c>
      <c r="Q145" t="str">
        <v>BARCELONA</v>
      </c>
      <c r="R145" s="10">
        <v>150</v>
      </c>
      <c r="S145">
        <v>44328</v>
      </c>
      <c r="T145" t="str">
        <v>SI</v>
      </c>
      <c r="V145">
        <v>352</v>
      </c>
      <c r="W145" t="str">
        <v>DESARROLLO</v>
      </c>
      <c r="X145" t="str">
        <v>CLIENTE-0010</v>
      </c>
      <c r="Y145" t="str">
        <v>MADRID</v>
      </c>
      <c r="Z145">
        <v>1500</v>
      </c>
      <c r="AA145">
        <v>43523</v>
      </c>
      <c r="AB145" t="str">
        <v>NO</v>
      </c>
      <c r="AN145">
        <v>143</v>
      </c>
      <c r="AO145" t="str">
        <v>PROYECTO</v>
      </c>
      <c r="AP145" t="str">
        <v>CLIENTE-0005</v>
      </c>
      <c r="AQ145">
        <v>500</v>
      </c>
      <c r="AR145" t="str">
        <v>NO</v>
      </c>
    </row>
    <row r="146" spans="1:44">
      <c r="A146" s="2">
        <v>145</v>
      </c>
      <c r="B146" t="s">
        <v>18</v>
      </c>
      <c r="C146" t="s">
        <v>19</v>
      </c>
      <c r="D146" t="s">
        <v>15</v>
      </c>
      <c r="E146" s="3">
        <v>950</v>
      </c>
      <c r="F146" s="4">
        <v>44317</v>
      </c>
      <c r="G146" s="2" t="s">
        <v>28</v>
      </c>
      <c r="N146">
        <v>770</v>
      </c>
      <c r="O146" t="str">
        <v>FORMACION</v>
      </c>
      <c r="P146" t="str">
        <v>CLIENTE-0009</v>
      </c>
      <c r="Q146" t="str">
        <v>ALICANTE</v>
      </c>
      <c r="R146" s="10">
        <v>150</v>
      </c>
      <c r="S146">
        <v>43665</v>
      </c>
      <c r="T146" t="str">
        <v>SI</v>
      </c>
      <c r="V146">
        <v>353</v>
      </c>
      <c r="W146" t="str">
        <v>EQUIPOS</v>
      </c>
      <c r="X146" t="str">
        <v>CLIENTE-0001</v>
      </c>
      <c r="Y146" t="str">
        <v>MADRID</v>
      </c>
      <c r="Z146">
        <v>5000</v>
      </c>
      <c r="AA146">
        <v>44172</v>
      </c>
      <c r="AB146" t="str">
        <v>SI</v>
      </c>
      <c r="AN146">
        <v>144</v>
      </c>
      <c r="AO146" t="str">
        <v>EQUIPOS</v>
      </c>
      <c r="AP146" t="str">
        <v>CLIENTE-0006</v>
      </c>
      <c r="AQ146">
        <v>750</v>
      </c>
      <c r="AR146" t="str">
        <v>NO</v>
      </c>
    </row>
    <row r="147" spans="1:44">
      <c r="A147" s="2">
        <v>146</v>
      </c>
      <c r="B147" t="s">
        <v>20</v>
      </c>
      <c r="C147" t="s">
        <v>23</v>
      </c>
      <c r="D147" t="s">
        <v>24</v>
      </c>
      <c r="E147" s="3">
        <v>680</v>
      </c>
      <c r="F147" s="4">
        <v>44550</v>
      </c>
      <c r="G147" s="2" t="s">
        <v>12</v>
      </c>
      <c r="N147">
        <v>776</v>
      </c>
      <c r="O147" t="str">
        <v>FORMACION</v>
      </c>
      <c r="P147" t="str">
        <v>CLIENTE-0003</v>
      </c>
      <c r="Q147" t="str">
        <v>MADRID</v>
      </c>
      <c r="R147" s="10">
        <v>150</v>
      </c>
      <c r="S147">
        <v>43920</v>
      </c>
      <c r="T147" t="str">
        <v>NO</v>
      </c>
      <c r="V147">
        <v>354</v>
      </c>
      <c r="W147" t="str">
        <v>PROGRAMA</v>
      </c>
      <c r="X147" t="str">
        <v>CLIENTE-0010</v>
      </c>
      <c r="Y147" t="str">
        <v>MADRID</v>
      </c>
      <c r="Z147">
        <v>6500</v>
      </c>
      <c r="AA147">
        <v>44004</v>
      </c>
      <c r="AB147" t="str">
        <v>SI</v>
      </c>
      <c r="AN147">
        <v>145</v>
      </c>
      <c r="AO147" t="str">
        <v>PROGRAMA</v>
      </c>
      <c r="AP147" t="str">
        <v>CLIENTE-0007</v>
      </c>
      <c r="AQ147">
        <v>950</v>
      </c>
      <c r="AR147" t="str">
        <v>NO</v>
      </c>
    </row>
    <row r="148" spans="1:44">
      <c r="A148" s="2">
        <v>147</v>
      </c>
      <c r="B148" t="s">
        <v>22</v>
      </c>
      <c r="C148" t="s">
        <v>25</v>
      </c>
      <c r="D148" t="s">
        <v>24</v>
      </c>
      <c r="E148" s="3">
        <v>950</v>
      </c>
      <c r="F148" s="4">
        <v>43820</v>
      </c>
      <c r="G148" s="2" t="s">
        <v>12</v>
      </c>
      <c r="N148">
        <v>16</v>
      </c>
      <c r="O148" t="str">
        <v>CONSULTORIA</v>
      </c>
      <c r="P148" t="str">
        <v>CLIENTE-0001</v>
      </c>
      <c r="Q148" t="str">
        <v>MADRID</v>
      </c>
      <c r="R148" s="10">
        <v>200</v>
      </c>
      <c r="S148">
        <v>43873</v>
      </c>
      <c r="T148" t="str">
        <v>NO</v>
      </c>
      <c r="V148">
        <v>355</v>
      </c>
      <c r="W148" t="str">
        <v>FORMACION</v>
      </c>
      <c r="X148" t="str">
        <v>CLIENTE-0001</v>
      </c>
      <c r="Y148" t="str">
        <v>MADRID</v>
      </c>
      <c r="Z148">
        <v>8500</v>
      </c>
      <c r="AA148">
        <v>43666</v>
      </c>
      <c r="AB148" t="str">
        <v>SI</v>
      </c>
      <c r="AN148">
        <v>146</v>
      </c>
      <c r="AO148" t="str">
        <v>FORMACION</v>
      </c>
      <c r="AP148" t="str">
        <v>CLIENTE-0008</v>
      </c>
      <c r="AQ148">
        <v>680</v>
      </c>
      <c r="AR148" t="str">
        <v>SI</v>
      </c>
    </row>
    <row r="149" spans="1:44">
      <c r="A149" s="2">
        <v>148</v>
      </c>
      <c r="B149" t="s">
        <v>10</v>
      </c>
      <c r="C149" t="s">
        <v>26</v>
      </c>
      <c r="D149" t="s">
        <v>9</v>
      </c>
      <c r="E149" s="3">
        <v>1500</v>
      </c>
      <c r="F149" s="4">
        <v>44233</v>
      </c>
      <c r="G149" s="2" t="s">
        <v>12</v>
      </c>
      <c r="N149">
        <v>39</v>
      </c>
      <c r="O149" t="str">
        <v>PROGRAMA</v>
      </c>
      <c r="P149" t="str">
        <v>CLIENTE-0004</v>
      </c>
      <c r="Q149" t="str">
        <v>MADRID</v>
      </c>
      <c r="R149" s="10">
        <v>200</v>
      </c>
      <c r="S149">
        <v>44013</v>
      </c>
      <c r="T149" t="str">
        <v>SI</v>
      </c>
      <c r="V149">
        <v>357</v>
      </c>
      <c r="W149" t="str">
        <v>DESARROLLO</v>
      </c>
      <c r="X149" t="str">
        <v>CLIENTE-0003</v>
      </c>
      <c r="Y149" t="str">
        <v>MADRID</v>
      </c>
      <c r="Z149">
        <v>300</v>
      </c>
      <c r="AA149">
        <v>44102</v>
      </c>
      <c r="AB149" t="str">
        <v>SI</v>
      </c>
      <c r="AN149">
        <v>147</v>
      </c>
      <c r="AO149" t="str">
        <v>CONSULTORIA</v>
      </c>
      <c r="AP149" t="str">
        <v>CLIENTE-0009</v>
      </c>
      <c r="AQ149">
        <v>950</v>
      </c>
      <c r="AR149" t="str">
        <v>SI</v>
      </c>
    </row>
    <row r="150" spans="1:44">
      <c r="A150" s="2">
        <v>149</v>
      </c>
      <c r="B150" t="s">
        <v>13</v>
      </c>
      <c r="C150" t="s">
        <v>27</v>
      </c>
      <c r="D150" t="s">
        <v>9</v>
      </c>
      <c r="E150" s="3">
        <v>5000</v>
      </c>
      <c r="F150" s="4">
        <v>44273</v>
      </c>
      <c r="G150" s="2" t="s">
        <v>12</v>
      </c>
      <c r="N150">
        <v>50</v>
      </c>
      <c r="O150" t="str">
        <v>EQUIPOS</v>
      </c>
      <c r="P150" t="str">
        <v>CLIENTE-0003</v>
      </c>
      <c r="Q150" t="str">
        <v>MADRID</v>
      </c>
      <c r="R150" s="10">
        <v>200</v>
      </c>
      <c r="S150">
        <v>43934</v>
      </c>
      <c r="T150" t="str">
        <v>SI</v>
      </c>
      <c r="V150">
        <v>358</v>
      </c>
      <c r="W150" t="str">
        <v>PROYECTO</v>
      </c>
      <c r="X150" t="str">
        <v>CLIENTE-0004</v>
      </c>
      <c r="Y150" t="str">
        <v>MADRID</v>
      </c>
      <c r="Z150">
        <v>200</v>
      </c>
      <c r="AA150">
        <v>43572</v>
      </c>
      <c r="AB150" t="str">
        <v>SI</v>
      </c>
      <c r="AN150">
        <v>148</v>
      </c>
      <c r="AO150" t="str">
        <v>DESARROLLO</v>
      </c>
      <c r="AP150" t="str">
        <v>CLIENTE-0010</v>
      </c>
      <c r="AQ150">
        <v>1500</v>
      </c>
      <c r="AR150" t="str">
        <v>SI</v>
      </c>
    </row>
    <row r="151" spans="1:44">
      <c r="A151" s="2">
        <v>150</v>
      </c>
      <c r="B151" t="s">
        <v>16</v>
      </c>
      <c r="C151" t="s">
        <v>26</v>
      </c>
      <c r="D151" t="s">
        <v>9</v>
      </c>
      <c r="E151" s="3">
        <v>6500</v>
      </c>
      <c r="F151" s="4">
        <v>43645</v>
      </c>
      <c r="G151" s="2" t="s">
        <v>12</v>
      </c>
      <c r="N151">
        <v>85</v>
      </c>
      <c r="O151" t="str">
        <v>PROGRAMA</v>
      </c>
      <c r="P151" t="str">
        <v>CLIENTE-0005</v>
      </c>
      <c r="Q151" t="str">
        <v>BARCELONA</v>
      </c>
      <c r="R151" s="10">
        <v>200</v>
      </c>
      <c r="S151">
        <v>43518</v>
      </c>
      <c r="T151" t="str">
        <v>NO</v>
      </c>
      <c r="V151">
        <v>364</v>
      </c>
      <c r="W151" t="str">
        <v>PROGRAMA</v>
      </c>
      <c r="X151" t="str">
        <v>CLIENTE-0010</v>
      </c>
      <c r="Y151" t="str">
        <v>MADRID</v>
      </c>
      <c r="Z151">
        <v>120</v>
      </c>
      <c r="AA151">
        <v>44097</v>
      </c>
      <c r="AB151" t="str">
        <v>NO</v>
      </c>
      <c r="AN151">
        <v>149</v>
      </c>
      <c r="AO151" t="str">
        <v>PROYECTO</v>
      </c>
      <c r="AP151" t="str">
        <v>CLIENTE-0001</v>
      </c>
      <c r="AQ151">
        <v>5000</v>
      </c>
      <c r="AR151" t="str">
        <v>SI</v>
      </c>
    </row>
    <row r="152" spans="1:44">
      <c r="A152" s="2">
        <v>151</v>
      </c>
      <c r="B152" t="s">
        <v>18</v>
      </c>
      <c r="C152" t="s">
        <v>27</v>
      </c>
      <c r="D152" t="s">
        <v>9</v>
      </c>
      <c r="E152" s="3">
        <v>8500</v>
      </c>
      <c r="F152" s="4">
        <v>44140</v>
      </c>
      <c r="G152" s="2" t="s">
        <v>12</v>
      </c>
      <c r="N152">
        <v>108</v>
      </c>
      <c r="O152" t="str">
        <v>PROGRAMA</v>
      </c>
      <c r="P152" t="str">
        <v>CLIENTE-0003</v>
      </c>
      <c r="Q152" t="str">
        <v>MADRID</v>
      </c>
      <c r="R152" s="10">
        <v>200</v>
      </c>
      <c r="S152">
        <v>44183</v>
      </c>
      <c r="T152" t="str">
        <v>SI</v>
      </c>
      <c r="V152">
        <v>365</v>
      </c>
      <c r="W152" t="str">
        <v>FORMACION</v>
      </c>
      <c r="X152" t="str">
        <v>CLIENTE-0004</v>
      </c>
      <c r="Y152" t="str">
        <v>MADRID</v>
      </c>
      <c r="Z152">
        <v>150</v>
      </c>
      <c r="AA152">
        <v>43794</v>
      </c>
      <c r="AB152" t="str">
        <v>SI</v>
      </c>
      <c r="AN152">
        <v>150</v>
      </c>
      <c r="AO152" t="str">
        <v>EQUIPOS</v>
      </c>
      <c r="AP152" t="str">
        <v>CLIENTE-0010</v>
      </c>
      <c r="AQ152">
        <v>6500</v>
      </c>
      <c r="AR152" t="str">
        <v>SI</v>
      </c>
    </row>
    <row r="153" spans="1:44">
      <c r="A153" s="2">
        <v>152</v>
      </c>
      <c r="B153" t="s">
        <v>20</v>
      </c>
      <c r="C153" t="s">
        <v>29</v>
      </c>
      <c r="D153" t="s">
        <v>24</v>
      </c>
      <c r="E153" s="3">
        <v>1200</v>
      </c>
      <c r="F153" s="4">
        <v>43544</v>
      </c>
      <c r="G153" s="2" t="s">
        <v>12</v>
      </c>
      <c r="N153">
        <v>119</v>
      </c>
      <c r="O153" t="str">
        <v>CONSULTORIA</v>
      </c>
      <c r="P153" t="str">
        <v>CLIENTE-0006</v>
      </c>
      <c r="Q153" t="str">
        <v>BARCELONA</v>
      </c>
      <c r="R153" s="10">
        <v>200</v>
      </c>
      <c r="S153">
        <v>43745</v>
      </c>
      <c r="T153" t="str">
        <v>SI</v>
      </c>
      <c r="V153">
        <v>372</v>
      </c>
      <c r="W153" t="str">
        <v>CONSULTORIA</v>
      </c>
      <c r="X153" t="str">
        <v>CLIENTE-0010</v>
      </c>
      <c r="Y153" t="str">
        <v>MADRID</v>
      </c>
      <c r="Z153">
        <v>300</v>
      </c>
      <c r="AA153">
        <v>43611</v>
      </c>
      <c r="AB153" t="str">
        <v>SI</v>
      </c>
      <c r="AN153">
        <v>151</v>
      </c>
      <c r="AO153" t="str">
        <v>PROGRAMA</v>
      </c>
      <c r="AP153" t="str">
        <v>CLIENTE-0001</v>
      </c>
      <c r="AQ153">
        <v>8500</v>
      </c>
      <c r="AR153" t="str">
        <v>SI</v>
      </c>
    </row>
    <row r="154" spans="1:44">
      <c r="A154" s="2">
        <v>153</v>
      </c>
      <c r="B154" t="s">
        <v>22</v>
      </c>
      <c r="C154" t="s">
        <v>21</v>
      </c>
      <c r="D154" t="s">
        <v>9</v>
      </c>
      <c r="E154" s="3">
        <v>300</v>
      </c>
      <c r="F154" s="4">
        <v>43708</v>
      </c>
      <c r="G154" s="2" t="s">
        <v>28</v>
      </c>
      <c r="N154">
        <v>154</v>
      </c>
      <c r="O154" t="str">
        <v>DESARROLLO</v>
      </c>
      <c r="P154" t="str">
        <v>CLIENTE-0004</v>
      </c>
      <c r="Q154" t="str">
        <v>MADRID</v>
      </c>
      <c r="R154" s="10">
        <v>200</v>
      </c>
      <c r="S154">
        <v>44069</v>
      </c>
      <c r="T154" t="str">
        <v>NO</v>
      </c>
      <c r="V154">
        <v>373</v>
      </c>
      <c r="W154" t="str">
        <v>DESARROLLO</v>
      </c>
      <c r="X154" t="str">
        <v>CLIENTE-0001</v>
      </c>
      <c r="Y154" t="str">
        <v>MADRID</v>
      </c>
      <c r="Z154">
        <v>350</v>
      </c>
      <c r="AA154">
        <v>43548</v>
      </c>
      <c r="AB154" t="str">
        <v>SI</v>
      </c>
      <c r="AN154">
        <v>152</v>
      </c>
      <c r="AO154" t="str">
        <v>FORMACION</v>
      </c>
      <c r="AP154" t="str">
        <v>CLIENTE-0002</v>
      </c>
      <c r="AQ154">
        <v>1200</v>
      </c>
      <c r="AR154" t="str">
        <v>SI</v>
      </c>
    </row>
    <row r="155" spans="1:44">
      <c r="A155" s="2">
        <v>154</v>
      </c>
      <c r="B155" t="s">
        <v>10</v>
      </c>
      <c r="C155" t="s">
        <v>11</v>
      </c>
      <c r="D155" t="s">
        <v>9</v>
      </c>
      <c r="E155" s="3">
        <v>200</v>
      </c>
      <c r="F155" s="4">
        <v>44069</v>
      </c>
      <c r="G155" s="2" t="s">
        <v>28</v>
      </c>
      <c r="N155">
        <v>177</v>
      </c>
      <c r="O155" t="str">
        <v>DESARROLLO</v>
      </c>
      <c r="P155" t="str">
        <v>CLIENTE-0007</v>
      </c>
      <c r="Q155" t="str">
        <v>BARCELONA</v>
      </c>
      <c r="R155" s="10">
        <v>200</v>
      </c>
      <c r="S155">
        <v>44082</v>
      </c>
      <c r="T155" t="str">
        <v>SI</v>
      </c>
      <c r="V155">
        <v>374</v>
      </c>
      <c r="W155" t="str">
        <v>PROYECTO</v>
      </c>
      <c r="X155" t="str">
        <v>CLIENTE-0010</v>
      </c>
      <c r="Y155" t="str">
        <v>MADRID</v>
      </c>
      <c r="Z155">
        <v>8500</v>
      </c>
      <c r="AA155">
        <v>43519</v>
      </c>
      <c r="AB155" t="str">
        <v>SI</v>
      </c>
      <c r="AN155">
        <v>153</v>
      </c>
      <c r="AO155" t="str">
        <v>CONSULTORIA</v>
      </c>
      <c r="AP155" t="str">
        <v>CLIENTE-0003</v>
      </c>
      <c r="AQ155">
        <v>300</v>
      </c>
      <c r="AR155" t="str">
        <v>NO</v>
      </c>
    </row>
    <row r="156" spans="1:44">
      <c r="A156" s="2">
        <v>155</v>
      </c>
      <c r="B156" t="s">
        <v>13</v>
      </c>
      <c r="C156" t="s">
        <v>14</v>
      </c>
      <c r="D156" t="s">
        <v>15</v>
      </c>
      <c r="E156" s="3">
        <v>150</v>
      </c>
      <c r="F156" s="4">
        <v>44222</v>
      </c>
      <c r="G156" s="2" t="s">
        <v>28</v>
      </c>
      <c r="N156">
        <v>188</v>
      </c>
      <c r="O156" t="str">
        <v>CONSULTORIA</v>
      </c>
      <c r="P156" t="str">
        <v>CLIENTE-0010</v>
      </c>
      <c r="Q156" t="str">
        <v>MADRID</v>
      </c>
      <c r="R156" s="10">
        <v>200</v>
      </c>
      <c r="S156">
        <v>43561</v>
      </c>
      <c r="T156" t="str">
        <v>SI</v>
      </c>
      <c r="V156">
        <v>375</v>
      </c>
      <c r="W156" t="str">
        <v>EQUIPOS</v>
      </c>
      <c r="X156" t="str">
        <v>CLIENTE-0001</v>
      </c>
      <c r="Y156" t="str">
        <v>MADRID</v>
      </c>
      <c r="Z156">
        <v>1200</v>
      </c>
      <c r="AA156">
        <v>44311</v>
      </c>
      <c r="AB156" t="str">
        <v>SI</v>
      </c>
      <c r="AN156">
        <v>154</v>
      </c>
      <c r="AO156" t="str">
        <v>DESARROLLO</v>
      </c>
      <c r="AP156" t="str">
        <v>CLIENTE-0004</v>
      </c>
      <c r="AQ156">
        <v>200</v>
      </c>
      <c r="AR156" t="str">
        <v>NO</v>
      </c>
    </row>
    <row r="157" spans="1:44">
      <c r="A157" s="2">
        <v>156</v>
      </c>
      <c r="B157" t="s">
        <v>16</v>
      </c>
      <c r="C157" t="s">
        <v>17</v>
      </c>
      <c r="D157" t="s">
        <v>15</v>
      </c>
      <c r="E157" s="3">
        <v>120</v>
      </c>
      <c r="F157" s="4">
        <v>44443</v>
      </c>
      <c r="G157" s="2" t="s">
        <v>28</v>
      </c>
      <c r="N157">
        <v>223</v>
      </c>
      <c r="O157" t="str">
        <v>CONSULTORIA</v>
      </c>
      <c r="P157" t="str">
        <v>CLIENTE-0006</v>
      </c>
      <c r="Q157" t="str">
        <v>BARCELONA</v>
      </c>
      <c r="R157" s="10">
        <v>200</v>
      </c>
      <c r="S157">
        <v>44495</v>
      </c>
      <c r="T157" t="str">
        <v>NO</v>
      </c>
      <c r="V157">
        <v>377</v>
      </c>
      <c r="W157" t="str">
        <v>FORMACION</v>
      </c>
      <c r="X157" t="str">
        <v>CLIENTE-0003</v>
      </c>
      <c r="Y157" t="str">
        <v>MADRID</v>
      </c>
      <c r="Z157">
        <v>200</v>
      </c>
      <c r="AA157">
        <v>44553</v>
      </c>
      <c r="AB157" t="str">
        <v>NO</v>
      </c>
      <c r="AN157">
        <v>155</v>
      </c>
      <c r="AO157" t="str">
        <v>PROYECTO</v>
      </c>
      <c r="AP157" t="str">
        <v>CLIENTE-0005</v>
      </c>
      <c r="AQ157">
        <v>150</v>
      </c>
      <c r="AR157" t="str">
        <v>NO</v>
      </c>
    </row>
    <row r="158" spans="1:44">
      <c r="A158" s="2">
        <v>157</v>
      </c>
      <c r="B158" t="s">
        <v>22</v>
      </c>
      <c r="C158" t="s">
        <v>19</v>
      </c>
      <c r="D158" t="s">
        <v>15</v>
      </c>
      <c r="E158" s="3">
        <v>300</v>
      </c>
      <c r="F158" s="4">
        <v>43987</v>
      </c>
      <c r="G158" s="2" t="s">
        <v>28</v>
      </c>
      <c r="N158">
        <v>246</v>
      </c>
      <c r="O158" t="str">
        <v>DESARROLLO</v>
      </c>
      <c r="P158" t="str">
        <v>CLIENTE-0004</v>
      </c>
      <c r="Q158" t="str">
        <v>MADRID</v>
      </c>
      <c r="R158" s="10">
        <v>200</v>
      </c>
      <c r="S158">
        <v>43940</v>
      </c>
      <c r="T158" t="str">
        <v>SI</v>
      </c>
      <c r="V158">
        <v>378</v>
      </c>
      <c r="W158" t="str">
        <v>CONSULTORIA</v>
      </c>
      <c r="X158" t="str">
        <v>CLIENTE-0004</v>
      </c>
      <c r="Y158" t="str">
        <v>MADRID</v>
      </c>
      <c r="Z158">
        <v>150</v>
      </c>
      <c r="AA158">
        <v>43533</v>
      </c>
      <c r="AB158" t="str">
        <v>NO</v>
      </c>
      <c r="AN158">
        <v>156</v>
      </c>
      <c r="AO158" t="str">
        <v>EQUIPOS</v>
      </c>
      <c r="AP158" t="str">
        <v>CLIENTE-0006</v>
      </c>
      <c r="AQ158">
        <v>120</v>
      </c>
      <c r="AR158" t="str">
        <v>NO</v>
      </c>
    </row>
    <row r="159" spans="1:44">
      <c r="A159" s="2">
        <v>158</v>
      </c>
      <c r="B159" t="s">
        <v>10</v>
      </c>
      <c r="C159" t="s">
        <v>23</v>
      </c>
      <c r="D159" t="s">
        <v>24</v>
      </c>
      <c r="E159" s="3">
        <v>350</v>
      </c>
      <c r="F159" s="4">
        <v>44283</v>
      </c>
      <c r="G159" s="2" t="s">
        <v>28</v>
      </c>
      <c r="N159">
        <v>257</v>
      </c>
      <c r="O159" t="str">
        <v>CONSULTORIA</v>
      </c>
      <c r="P159" t="str">
        <v>CLIENTE-0002</v>
      </c>
      <c r="Q159" t="str">
        <v>ALICANTE</v>
      </c>
      <c r="R159" s="10">
        <v>200</v>
      </c>
      <c r="S159">
        <v>44488</v>
      </c>
      <c r="T159" t="str">
        <v>SI</v>
      </c>
      <c r="V159">
        <v>384</v>
      </c>
      <c r="W159" t="str">
        <v>CONSULTORIA</v>
      </c>
      <c r="X159" t="str">
        <v>CLIENTE-0010</v>
      </c>
      <c r="Y159" t="str">
        <v>MADRID</v>
      </c>
      <c r="Z159">
        <v>150</v>
      </c>
      <c r="AA159">
        <v>43786</v>
      </c>
      <c r="AB159" t="str">
        <v>SI</v>
      </c>
      <c r="AN159">
        <v>157</v>
      </c>
      <c r="AO159" t="str">
        <v>CONSULTORIA</v>
      </c>
      <c r="AP159" t="str">
        <v>CLIENTE-0007</v>
      </c>
      <c r="AQ159">
        <v>300</v>
      </c>
      <c r="AR159" t="str">
        <v>NO</v>
      </c>
    </row>
    <row r="160" spans="1:44">
      <c r="A160" s="2">
        <v>159</v>
      </c>
      <c r="B160" t="s">
        <v>13</v>
      </c>
      <c r="C160" t="s">
        <v>25</v>
      </c>
      <c r="D160" t="s">
        <v>24</v>
      </c>
      <c r="E160" s="3">
        <v>300</v>
      </c>
      <c r="F160" s="4">
        <v>43678</v>
      </c>
      <c r="G160" s="2" t="s">
        <v>12</v>
      </c>
      <c r="N160">
        <v>289</v>
      </c>
      <c r="O160" t="str">
        <v>EQUIPOS</v>
      </c>
      <c r="P160" t="str">
        <v>CLIENTE-0010</v>
      </c>
      <c r="Q160" t="str">
        <v>MADRID</v>
      </c>
      <c r="R160" s="10">
        <v>200</v>
      </c>
      <c r="S160">
        <v>43682</v>
      </c>
      <c r="T160" t="str">
        <v>SI</v>
      </c>
      <c r="V160">
        <v>385</v>
      </c>
      <c r="W160" t="str">
        <v>DESARROLLO</v>
      </c>
      <c r="X160" t="str">
        <v>CLIENTE-0004</v>
      </c>
      <c r="Y160" t="str">
        <v>MADRID</v>
      </c>
      <c r="Z160">
        <v>1200</v>
      </c>
      <c r="AA160">
        <v>43625</v>
      </c>
      <c r="AB160" t="str">
        <v>SI</v>
      </c>
      <c r="AN160">
        <v>158</v>
      </c>
      <c r="AO160" t="str">
        <v>DESARROLLO</v>
      </c>
      <c r="AP160" t="str">
        <v>CLIENTE-0008</v>
      </c>
      <c r="AQ160">
        <v>350</v>
      </c>
      <c r="AR160" t="str">
        <v>NO</v>
      </c>
    </row>
    <row r="161" spans="1:44">
      <c r="A161" s="2">
        <v>160</v>
      </c>
      <c r="B161" t="s">
        <v>16</v>
      </c>
      <c r="C161" t="s">
        <v>26</v>
      </c>
      <c r="D161" t="s">
        <v>9</v>
      </c>
      <c r="E161" s="3">
        <v>120</v>
      </c>
      <c r="F161" s="4">
        <v>43982</v>
      </c>
      <c r="G161" s="2" t="s">
        <v>12</v>
      </c>
      <c r="N161">
        <v>300</v>
      </c>
      <c r="O161" t="str">
        <v>DESARROLLO</v>
      </c>
      <c r="P161" t="str">
        <v>CLIENTE-0004</v>
      </c>
      <c r="Q161" t="str">
        <v>MADRID</v>
      </c>
      <c r="R161" s="10">
        <v>200</v>
      </c>
      <c r="S161">
        <v>43864</v>
      </c>
      <c r="T161" t="str">
        <v>SI</v>
      </c>
      <c r="V161">
        <v>386</v>
      </c>
      <c r="W161" t="str">
        <v>PROYECTO</v>
      </c>
      <c r="X161" t="str">
        <v>CLIENTE-0004</v>
      </c>
      <c r="Y161" t="str">
        <v>MADRID</v>
      </c>
      <c r="Z161">
        <v>800</v>
      </c>
      <c r="AA161">
        <v>43511</v>
      </c>
      <c r="AB161" t="str">
        <v>SI</v>
      </c>
      <c r="AN161">
        <v>159</v>
      </c>
      <c r="AO161" t="str">
        <v>PROYECTO</v>
      </c>
      <c r="AP161" t="str">
        <v>CLIENTE-0009</v>
      </c>
      <c r="AQ161">
        <v>300</v>
      </c>
      <c r="AR161" t="str">
        <v>SI</v>
      </c>
    </row>
    <row r="162" spans="1:44">
      <c r="A162" s="2">
        <v>161</v>
      </c>
      <c r="B162" t="s">
        <v>18</v>
      </c>
      <c r="C162" t="s">
        <v>11</v>
      </c>
      <c r="D162" t="s">
        <v>9</v>
      </c>
      <c r="E162" s="3">
        <v>150</v>
      </c>
      <c r="F162" s="4">
        <v>43919</v>
      </c>
      <c r="G162" s="2" t="s">
        <v>12</v>
      </c>
      <c r="N162">
        <v>335</v>
      </c>
      <c r="O162" t="str">
        <v>PROYECTO</v>
      </c>
      <c r="P162" t="str">
        <v>CLIENTE-0006</v>
      </c>
      <c r="Q162" t="str">
        <v>BARCELONA</v>
      </c>
      <c r="R162" s="10">
        <v>200</v>
      </c>
      <c r="S162">
        <v>44190</v>
      </c>
      <c r="T162" t="str">
        <v>SI</v>
      </c>
      <c r="V162">
        <v>390</v>
      </c>
      <c r="W162" t="str">
        <v>CONSULTORIA</v>
      </c>
      <c r="X162" t="str">
        <v>CLIENTE-0003</v>
      </c>
      <c r="Y162" t="str">
        <v>MADRID</v>
      </c>
      <c r="Z162">
        <v>750</v>
      </c>
      <c r="AA162">
        <v>43984</v>
      </c>
      <c r="AB162" t="str">
        <v>SI</v>
      </c>
      <c r="AN162">
        <v>160</v>
      </c>
      <c r="AO162" t="str">
        <v>EQUIPOS</v>
      </c>
      <c r="AP162" t="str">
        <v>CLIENTE-0010</v>
      </c>
      <c r="AQ162">
        <v>120</v>
      </c>
      <c r="AR162" t="str">
        <v>SI</v>
      </c>
    </row>
    <row r="163" spans="1:44">
      <c r="A163" s="2">
        <v>162</v>
      </c>
      <c r="B163" t="s">
        <v>20</v>
      </c>
      <c r="C163" t="s">
        <v>14</v>
      </c>
      <c r="D163" t="s">
        <v>15</v>
      </c>
      <c r="E163" s="3">
        <v>1200</v>
      </c>
      <c r="F163" s="4">
        <v>44326</v>
      </c>
      <c r="G163" s="2" t="s">
        <v>12</v>
      </c>
      <c r="N163">
        <v>358</v>
      </c>
      <c r="O163" t="str">
        <v>PROYECTO</v>
      </c>
      <c r="P163" t="str">
        <v>CLIENTE-0004</v>
      </c>
      <c r="Q163" t="str">
        <v>MADRID</v>
      </c>
      <c r="R163" s="10">
        <v>200</v>
      </c>
      <c r="S163">
        <v>43572</v>
      </c>
      <c r="T163" t="str">
        <v>SI</v>
      </c>
      <c r="V163">
        <v>391</v>
      </c>
      <c r="W163" t="str">
        <v>DESARROLLO</v>
      </c>
      <c r="X163" t="str">
        <v>CLIENTE-0004</v>
      </c>
      <c r="Y163" t="str">
        <v>MADRID</v>
      </c>
      <c r="Z163">
        <v>950</v>
      </c>
      <c r="AA163">
        <v>43979</v>
      </c>
      <c r="AB163" t="str">
        <v>SI</v>
      </c>
      <c r="AN163">
        <v>161</v>
      </c>
      <c r="AO163" t="str">
        <v>PROGRAMA</v>
      </c>
      <c r="AP163" t="str">
        <v>CLIENTE-0004</v>
      </c>
      <c r="AQ163">
        <v>150</v>
      </c>
      <c r="AR163" t="str">
        <v>SI</v>
      </c>
    </row>
    <row r="164" spans="1:44">
      <c r="A164" s="2">
        <v>163</v>
      </c>
      <c r="B164" t="s">
        <v>22</v>
      </c>
      <c r="C164" t="s">
        <v>14</v>
      </c>
      <c r="D164" t="s">
        <v>15</v>
      </c>
      <c r="E164" s="3">
        <v>800</v>
      </c>
      <c r="F164" s="4">
        <v>44076</v>
      </c>
      <c r="G164" s="2" t="s">
        <v>12</v>
      </c>
      <c r="N164">
        <v>369</v>
      </c>
      <c r="O164" t="str">
        <v>EQUIPOS</v>
      </c>
      <c r="P164" t="str">
        <v>CLIENTE-0007</v>
      </c>
      <c r="Q164" t="str">
        <v>BARCELONA</v>
      </c>
      <c r="R164" s="10">
        <v>200</v>
      </c>
      <c r="S164">
        <v>43931</v>
      </c>
      <c r="T164" t="str">
        <v>SI</v>
      </c>
      <c r="V164">
        <v>398</v>
      </c>
      <c r="W164" t="str">
        <v>PROGRAMA</v>
      </c>
      <c r="X164" t="str">
        <v>CLIENTE-0010</v>
      </c>
      <c r="Y164" t="str">
        <v>MADRID</v>
      </c>
      <c r="Z164">
        <v>1200</v>
      </c>
      <c r="AA164">
        <v>44214</v>
      </c>
      <c r="AB164" t="str">
        <v>SI</v>
      </c>
      <c r="AN164">
        <v>162</v>
      </c>
      <c r="AO164" t="str">
        <v>FORMACION</v>
      </c>
      <c r="AP164" t="str">
        <v>CLIENTE-0005</v>
      </c>
      <c r="AQ164">
        <v>1200</v>
      </c>
      <c r="AR164" t="str">
        <v>SI</v>
      </c>
    </row>
    <row r="165" spans="1:44">
      <c r="A165" s="2">
        <v>164</v>
      </c>
      <c r="B165" t="s">
        <v>10</v>
      </c>
      <c r="C165" t="s">
        <v>17</v>
      </c>
      <c r="D165" t="s">
        <v>15</v>
      </c>
      <c r="E165" s="3">
        <v>750</v>
      </c>
      <c r="F165" s="4">
        <v>44452</v>
      </c>
      <c r="G165" s="2" t="s">
        <v>12</v>
      </c>
      <c r="N165">
        <v>377</v>
      </c>
      <c r="O165" t="str">
        <v>FORMACION</v>
      </c>
      <c r="P165" t="str">
        <v>CLIENTE-0003</v>
      </c>
      <c r="Q165" t="str">
        <v>MADRID</v>
      </c>
      <c r="R165" s="10">
        <v>200</v>
      </c>
      <c r="S165">
        <v>44553</v>
      </c>
      <c r="T165" t="str">
        <v>NO</v>
      </c>
      <c r="V165">
        <v>399</v>
      </c>
      <c r="W165" t="str">
        <v>FORMACION</v>
      </c>
      <c r="X165" t="str">
        <v>CLIENTE-0001</v>
      </c>
      <c r="Y165" t="str">
        <v>MADRID</v>
      </c>
      <c r="Z165">
        <v>300</v>
      </c>
      <c r="AA165">
        <v>43963</v>
      </c>
      <c r="AB165" t="str">
        <v>SI</v>
      </c>
      <c r="AN165">
        <v>163</v>
      </c>
      <c r="AO165" t="str">
        <v>CONSULTORIA</v>
      </c>
      <c r="AP165" t="str">
        <v>CLIENTE-0005</v>
      </c>
      <c r="AQ165">
        <v>800</v>
      </c>
      <c r="AR165" t="str">
        <v>SI</v>
      </c>
    </row>
    <row r="166" spans="1:44">
      <c r="A166" s="2">
        <v>165</v>
      </c>
      <c r="B166" t="s">
        <v>13</v>
      </c>
      <c r="C166" t="s">
        <v>19</v>
      </c>
      <c r="D166" t="s">
        <v>15</v>
      </c>
      <c r="E166" s="3">
        <v>4500</v>
      </c>
      <c r="F166" s="4">
        <v>44244</v>
      </c>
      <c r="G166" s="2" t="s">
        <v>12</v>
      </c>
      <c r="N166">
        <v>400</v>
      </c>
      <c r="O166" t="str">
        <v>CONSULTORIA</v>
      </c>
      <c r="P166" t="str">
        <v>CLIENTE-0010</v>
      </c>
      <c r="Q166" t="str">
        <v>MADRID</v>
      </c>
      <c r="R166" s="10">
        <v>200</v>
      </c>
      <c r="S166">
        <v>44380</v>
      </c>
      <c r="T166" t="str">
        <v>SI</v>
      </c>
      <c r="V166">
        <v>400</v>
      </c>
      <c r="W166" t="str">
        <v>CONSULTORIA</v>
      </c>
      <c r="X166" t="str">
        <v>CLIENTE-0010</v>
      </c>
      <c r="Y166" t="str">
        <v>MADRID</v>
      </c>
      <c r="Z166">
        <v>200</v>
      </c>
      <c r="AA166">
        <v>44380</v>
      </c>
      <c r="AB166" t="str">
        <v>SI</v>
      </c>
      <c r="AN166">
        <v>164</v>
      </c>
      <c r="AO166" t="str">
        <v>DESARROLLO</v>
      </c>
      <c r="AP166" t="str">
        <v>CLIENTE-0006</v>
      </c>
      <c r="AQ166">
        <v>750</v>
      </c>
      <c r="AR166" t="str">
        <v>SI</v>
      </c>
    </row>
    <row r="167" spans="1:44">
      <c r="A167" s="2">
        <v>166</v>
      </c>
      <c r="B167" t="s">
        <v>16</v>
      </c>
      <c r="C167" t="s">
        <v>23</v>
      </c>
      <c r="D167" t="s">
        <v>24</v>
      </c>
      <c r="E167" s="3">
        <v>500</v>
      </c>
      <c r="F167" s="4">
        <v>43539</v>
      </c>
      <c r="G167" s="2" t="s">
        <v>12</v>
      </c>
      <c r="N167">
        <v>411</v>
      </c>
      <c r="O167" t="str">
        <v>FORMACION</v>
      </c>
      <c r="P167" t="str">
        <v>CLIENTE-0004</v>
      </c>
      <c r="Q167" t="str">
        <v>MADRID</v>
      </c>
      <c r="R167" s="10">
        <v>200</v>
      </c>
      <c r="S167">
        <v>44188</v>
      </c>
      <c r="T167" t="str">
        <v>NO</v>
      </c>
      <c r="V167">
        <v>401</v>
      </c>
      <c r="W167" t="str">
        <v>DESARROLLO</v>
      </c>
      <c r="X167" t="str">
        <v>CLIENTE-0001</v>
      </c>
      <c r="Y167" t="str">
        <v>MADRID</v>
      </c>
      <c r="Z167">
        <v>150</v>
      </c>
      <c r="AA167">
        <v>43770</v>
      </c>
      <c r="AB167" t="str">
        <v>SI</v>
      </c>
      <c r="AN167">
        <v>165</v>
      </c>
      <c r="AO167" t="str">
        <v>PROYECTO</v>
      </c>
      <c r="AP167" t="str">
        <v>CLIENTE-0007</v>
      </c>
      <c r="AQ167">
        <v>4500</v>
      </c>
      <c r="AR167" t="str">
        <v>SI</v>
      </c>
    </row>
    <row r="168" spans="1:44">
      <c r="A168" s="2">
        <v>167</v>
      </c>
      <c r="B168" t="s">
        <v>18</v>
      </c>
      <c r="C168" t="s">
        <v>25</v>
      </c>
      <c r="D168" t="s">
        <v>24</v>
      </c>
      <c r="E168" s="3">
        <v>750</v>
      </c>
      <c r="F168" s="4">
        <v>44449</v>
      </c>
      <c r="G168" s="2" t="s">
        <v>12</v>
      </c>
      <c r="N168">
        <v>446</v>
      </c>
      <c r="O168" t="str">
        <v>PROYECTO</v>
      </c>
      <c r="P168" t="str">
        <v>CLIENTE-0001</v>
      </c>
      <c r="Q168" t="str">
        <v>MADRID</v>
      </c>
      <c r="R168" s="10">
        <v>200</v>
      </c>
      <c r="S168">
        <v>44044</v>
      </c>
      <c r="T168" t="str">
        <v>SI</v>
      </c>
      <c r="V168">
        <v>403</v>
      </c>
      <c r="W168" t="str">
        <v>EQUIPOS</v>
      </c>
      <c r="X168" t="str">
        <v>CLIENTE-0003</v>
      </c>
      <c r="Y168" t="str">
        <v>MADRID</v>
      </c>
      <c r="Z168">
        <v>300</v>
      </c>
      <c r="AA168">
        <v>44250</v>
      </c>
      <c r="AB168" t="str">
        <v>SI</v>
      </c>
      <c r="AN168">
        <v>166</v>
      </c>
      <c r="AO168" t="str">
        <v>EQUIPOS</v>
      </c>
      <c r="AP168" t="str">
        <v>CLIENTE-0008</v>
      </c>
      <c r="AQ168">
        <v>500</v>
      </c>
      <c r="AR168" t="str">
        <v>SI</v>
      </c>
    </row>
    <row r="169" spans="1:44">
      <c r="A169" s="2">
        <v>168</v>
      </c>
      <c r="B169" t="s">
        <v>20</v>
      </c>
      <c r="C169" t="s">
        <v>26</v>
      </c>
      <c r="D169" t="s">
        <v>9</v>
      </c>
      <c r="E169" s="3">
        <v>950</v>
      </c>
      <c r="F169" s="4">
        <v>43632</v>
      </c>
      <c r="G169" s="2" t="s">
        <v>12</v>
      </c>
      <c r="N169">
        <v>469</v>
      </c>
      <c r="O169" t="str">
        <v>EQUIPOS</v>
      </c>
      <c r="P169" t="str">
        <v>CLIENTE-0004</v>
      </c>
      <c r="Q169" t="str">
        <v>MADRID</v>
      </c>
      <c r="R169" s="10">
        <v>200</v>
      </c>
      <c r="S169">
        <v>43824</v>
      </c>
      <c r="T169" t="str">
        <v>SI</v>
      </c>
      <c r="V169">
        <v>404</v>
      </c>
      <c r="W169" t="str">
        <v>PROGRAMA</v>
      </c>
      <c r="X169" t="str">
        <v>CLIENTE-0004</v>
      </c>
      <c r="Y169" t="str">
        <v>MADRID</v>
      </c>
      <c r="Z169">
        <v>350</v>
      </c>
      <c r="AA169">
        <v>44178</v>
      </c>
      <c r="AB169" t="str">
        <v>SI</v>
      </c>
      <c r="AN169">
        <v>167</v>
      </c>
      <c r="AO169" t="str">
        <v>PROGRAMA</v>
      </c>
      <c r="AP169" t="str">
        <v>CLIENTE-0009</v>
      </c>
      <c r="AQ169">
        <v>750</v>
      </c>
      <c r="AR169" t="str">
        <v>SI</v>
      </c>
    </row>
    <row r="170" spans="1:44">
      <c r="A170" s="2">
        <v>169</v>
      </c>
      <c r="B170" t="s">
        <v>22</v>
      </c>
      <c r="C170" t="s">
        <v>27</v>
      </c>
      <c r="D170" t="s">
        <v>9</v>
      </c>
      <c r="E170" s="3">
        <v>680</v>
      </c>
      <c r="F170" s="4">
        <v>43638</v>
      </c>
      <c r="G170" s="2" t="s">
        <v>12</v>
      </c>
      <c r="N170">
        <v>480</v>
      </c>
      <c r="O170" t="str">
        <v>PROYECTO</v>
      </c>
      <c r="P170" t="str">
        <v>CLIENTE-0003</v>
      </c>
      <c r="Q170" t="str">
        <v>MADRID</v>
      </c>
      <c r="R170" s="10">
        <v>200</v>
      </c>
      <c r="S170">
        <v>43931</v>
      </c>
      <c r="T170" t="str">
        <v>NO</v>
      </c>
      <c r="V170">
        <v>410</v>
      </c>
      <c r="W170" t="str">
        <v>PROGRAMA</v>
      </c>
      <c r="X170" t="str">
        <v>CLIENTE-0010</v>
      </c>
      <c r="Y170" t="str">
        <v>MADRID</v>
      </c>
      <c r="Z170">
        <v>300</v>
      </c>
      <c r="AA170">
        <v>44408</v>
      </c>
      <c r="AB170" t="str">
        <v>NO</v>
      </c>
      <c r="AN170">
        <v>168</v>
      </c>
      <c r="AO170" t="str">
        <v>FORMACION</v>
      </c>
      <c r="AP170" t="str">
        <v>CLIENTE-0010</v>
      </c>
      <c r="AQ170">
        <v>950</v>
      </c>
      <c r="AR170" t="str">
        <v>SI</v>
      </c>
    </row>
    <row r="171" spans="1:44">
      <c r="A171" s="2">
        <v>170</v>
      </c>
      <c r="B171" t="s">
        <v>10</v>
      </c>
      <c r="C171" t="s">
        <v>26</v>
      </c>
      <c r="D171" t="s">
        <v>9</v>
      </c>
      <c r="E171" s="3">
        <v>950</v>
      </c>
      <c r="F171" s="4">
        <v>43662</v>
      </c>
      <c r="G171" s="2" t="s">
        <v>12</v>
      </c>
      <c r="N171">
        <v>515</v>
      </c>
      <c r="O171" t="str">
        <v>PROYECTO</v>
      </c>
      <c r="P171" t="str">
        <v>CLIENTE-0005</v>
      </c>
      <c r="Q171" t="str">
        <v>BARCELONA</v>
      </c>
      <c r="R171" s="10">
        <v>200</v>
      </c>
      <c r="S171">
        <v>44222</v>
      </c>
      <c r="T171" t="str">
        <v>SI</v>
      </c>
      <c r="V171">
        <v>411</v>
      </c>
      <c r="W171" t="str">
        <v>FORMACION</v>
      </c>
      <c r="X171" t="str">
        <v>CLIENTE-0004</v>
      </c>
      <c r="Y171" t="str">
        <v>MADRID</v>
      </c>
      <c r="Z171">
        <v>200</v>
      </c>
      <c r="AA171">
        <v>44188</v>
      </c>
      <c r="AB171" t="str">
        <v>NO</v>
      </c>
      <c r="AN171">
        <v>169</v>
      </c>
      <c r="AO171" t="str">
        <v>CONSULTORIA</v>
      </c>
      <c r="AP171" t="str">
        <v>CLIENTE-0001</v>
      </c>
      <c r="AQ171">
        <v>680</v>
      </c>
      <c r="AR171" t="str">
        <v>SI</v>
      </c>
    </row>
    <row r="172" spans="1:44">
      <c r="A172" s="2">
        <v>171</v>
      </c>
      <c r="B172" t="s">
        <v>13</v>
      </c>
      <c r="C172" t="s">
        <v>27</v>
      </c>
      <c r="D172" t="s">
        <v>9</v>
      </c>
      <c r="E172" s="3">
        <v>1500</v>
      </c>
      <c r="F172" s="4">
        <v>44091</v>
      </c>
      <c r="G172" s="2" t="s">
        <v>12</v>
      </c>
      <c r="N172">
        <v>538</v>
      </c>
      <c r="O172" t="str">
        <v>CONSULTORIA</v>
      </c>
      <c r="P172" t="str">
        <v>CLIENTE-0003</v>
      </c>
      <c r="Q172" t="str">
        <v>MADRID</v>
      </c>
      <c r="R172" s="10">
        <v>200</v>
      </c>
      <c r="S172">
        <v>43691</v>
      </c>
      <c r="T172" t="str">
        <v>NO</v>
      </c>
      <c r="V172">
        <v>418</v>
      </c>
      <c r="W172" t="str">
        <v>FORMACION</v>
      </c>
      <c r="X172" t="str">
        <v>CLIENTE-0010</v>
      </c>
      <c r="Y172" t="str">
        <v>MADRID</v>
      </c>
      <c r="Z172">
        <v>150</v>
      </c>
      <c r="AA172">
        <v>44242</v>
      </c>
      <c r="AB172" t="str">
        <v>SI</v>
      </c>
      <c r="AN172">
        <v>170</v>
      </c>
      <c r="AO172" t="str">
        <v>DESARROLLO</v>
      </c>
      <c r="AP172" t="str">
        <v>CLIENTE-0010</v>
      </c>
      <c r="AQ172">
        <v>950</v>
      </c>
      <c r="AR172" t="str">
        <v>SI</v>
      </c>
    </row>
    <row r="173" spans="1:44">
      <c r="A173" s="2">
        <v>172</v>
      </c>
      <c r="B173" t="s">
        <v>16</v>
      </c>
      <c r="C173" t="s">
        <v>29</v>
      </c>
      <c r="D173" t="s">
        <v>24</v>
      </c>
      <c r="E173" s="3">
        <v>5000</v>
      </c>
      <c r="F173" s="4">
        <v>43822</v>
      </c>
      <c r="G173" s="2" t="s">
        <v>12</v>
      </c>
      <c r="N173">
        <v>549</v>
      </c>
      <c r="O173" t="str">
        <v>FORMACION</v>
      </c>
      <c r="P173" t="str">
        <v>CLIENTE-0006</v>
      </c>
      <c r="Q173" t="str">
        <v>BARCELONA</v>
      </c>
      <c r="R173" s="10">
        <v>200</v>
      </c>
      <c r="S173">
        <v>44534</v>
      </c>
      <c r="T173" t="str">
        <v>NO</v>
      </c>
      <c r="V173">
        <v>419</v>
      </c>
      <c r="W173" t="str">
        <v>CONSULTORIA</v>
      </c>
      <c r="X173" t="str">
        <v>CLIENTE-0001</v>
      </c>
      <c r="Y173" t="str">
        <v>MADRID</v>
      </c>
      <c r="Z173">
        <v>1200</v>
      </c>
      <c r="AA173">
        <v>44155</v>
      </c>
      <c r="AB173" t="str">
        <v>SI</v>
      </c>
      <c r="AN173">
        <v>171</v>
      </c>
      <c r="AO173" t="str">
        <v>PROYECTO</v>
      </c>
      <c r="AP173" t="str">
        <v>CLIENTE-0001</v>
      </c>
      <c r="AQ173">
        <v>1500</v>
      </c>
      <c r="AR173" t="str">
        <v>SI</v>
      </c>
    </row>
    <row r="174" spans="1:44">
      <c r="A174" s="2">
        <v>173</v>
      </c>
      <c r="B174" t="s">
        <v>18</v>
      </c>
      <c r="C174" t="s">
        <v>21</v>
      </c>
      <c r="D174" t="s">
        <v>9</v>
      </c>
      <c r="E174" s="3">
        <v>6500</v>
      </c>
      <c r="F174" s="4">
        <v>44503</v>
      </c>
      <c r="G174" s="2" t="s">
        <v>12</v>
      </c>
      <c r="N174">
        <v>584</v>
      </c>
      <c r="O174" t="str">
        <v>FORMACION</v>
      </c>
      <c r="P174" t="str">
        <v>CLIENTE-0009</v>
      </c>
      <c r="Q174" t="str">
        <v>ALICANTE</v>
      </c>
      <c r="R174" s="10">
        <v>200</v>
      </c>
      <c r="S174">
        <v>44099</v>
      </c>
      <c r="T174" t="str">
        <v>SI</v>
      </c>
      <c r="V174">
        <v>420</v>
      </c>
      <c r="W174" t="str">
        <v>DESARROLLO</v>
      </c>
      <c r="X174" t="str">
        <v>CLIENTE-0010</v>
      </c>
      <c r="Y174" t="str">
        <v>MADRID</v>
      </c>
      <c r="Z174">
        <v>800</v>
      </c>
      <c r="AA174">
        <v>44534</v>
      </c>
      <c r="AB174" t="str">
        <v>SI</v>
      </c>
      <c r="AN174">
        <v>172</v>
      </c>
      <c r="AO174" t="str">
        <v>EQUIPOS</v>
      </c>
      <c r="AP174" t="str">
        <v>CLIENTE-0002</v>
      </c>
      <c r="AQ174">
        <v>5000</v>
      </c>
      <c r="AR174" t="str">
        <v>SI</v>
      </c>
    </row>
    <row r="175" spans="1:44">
      <c r="A175" s="2">
        <v>174</v>
      </c>
      <c r="B175" t="s">
        <v>20</v>
      </c>
      <c r="C175" t="s">
        <v>11</v>
      </c>
      <c r="D175" t="s">
        <v>9</v>
      </c>
      <c r="E175" s="3">
        <v>8500</v>
      </c>
      <c r="F175" s="4">
        <v>44462</v>
      </c>
      <c r="G175" s="2" t="s">
        <v>12</v>
      </c>
      <c r="N175">
        <v>607</v>
      </c>
      <c r="O175" t="str">
        <v>EQUIPOS</v>
      </c>
      <c r="P175" t="str">
        <v>CLIENTE-0005</v>
      </c>
      <c r="Q175" t="str">
        <v>BARCELONA</v>
      </c>
      <c r="R175" s="10">
        <v>200</v>
      </c>
      <c r="S175">
        <v>43924</v>
      </c>
      <c r="T175" t="str">
        <v>NO</v>
      </c>
      <c r="V175">
        <v>421</v>
      </c>
      <c r="W175" t="str">
        <v>PROYECTO</v>
      </c>
      <c r="X175" t="str">
        <v>CLIENTE-0001</v>
      </c>
      <c r="Y175" t="str">
        <v>MADRID</v>
      </c>
      <c r="Z175">
        <v>750</v>
      </c>
      <c r="AA175">
        <v>43495</v>
      </c>
      <c r="AB175" t="str">
        <v>SI</v>
      </c>
      <c r="AN175">
        <v>173</v>
      </c>
      <c r="AO175" t="str">
        <v>PROGRAMA</v>
      </c>
      <c r="AP175" t="str">
        <v>CLIENTE-0003</v>
      </c>
      <c r="AQ175">
        <v>6500</v>
      </c>
      <c r="AR175" t="str">
        <v>SI</v>
      </c>
    </row>
    <row r="176" spans="1:44">
      <c r="A176" s="2">
        <v>175</v>
      </c>
      <c r="B176" t="s">
        <v>22</v>
      </c>
      <c r="C176" t="s">
        <v>14</v>
      </c>
      <c r="D176" t="s">
        <v>15</v>
      </c>
      <c r="E176" s="3">
        <v>1200</v>
      </c>
      <c r="F176" s="4">
        <v>44145</v>
      </c>
      <c r="G176" s="2" t="s">
        <v>12</v>
      </c>
      <c r="N176">
        <v>618</v>
      </c>
      <c r="O176" t="str">
        <v>PROGRAMA</v>
      </c>
      <c r="P176" t="str">
        <v>CLIENTE-0010</v>
      </c>
      <c r="Q176" t="str">
        <v>MADRID</v>
      </c>
      <c r="R176" s="10">
        <v>200</v>
      </c>
      <c r="S176">
        <v>44302</v>
      </c>
      <c r="T176" t="str">
        <v>NO</v>
      </c>
      <c r="V176">
        <v>423</v>
      </c>
      <c r="W176" t="str">
        <v>PROGRAMA</v>
      </c>
      <c r="X176" t="str">
        <v>CLIENTE-0003</v>
      </c>
      <c r="Y176" t="str">
        <v>MADRID</v>
      </c>
      <c r="Z176">
        <v>500</v>
      </c>
      <c r="AA176">
        <v>44208</v>
      </c>
      <c r="AB176" t="str">
        <v>SI</v>
      </c>
      <c r="AN176">
        <v>174</v>
      </c>
      <c r="AO176" t="str">
        <v>FORMACION</v>
      </c>
      <c r="AP176" t="str">
        <v>CLIENTE-0004</v>
      </c>
      <c r="AQ176">
        <v>8500</v>
      </c>
      <c r="AR176" t="str">
        <v>SI</v>
      </c>
    </row>
    <row r="177" spans="1:44">
      <c r="A177" s="2">
        <v>176</v>
      </c>
      <c r="B177" t="s">
        <v>10</v>
      </c>
      <c r="C177" t="s">
        <v>17</v>
      </c>
      <c r="D177" t="s">
        <v>15</v>
      </c>
      <c r="E177" s="3">
        <v>300</v>
      </c>
      <c r="F177" s="4">
        <v>43496</v>
      </c>
      <c r="G177" s="2" t="s">
        <v>12</v>
      </c>
      <c r="N177">
        <v>651</v>
      </c>
      <c r="O177" t="str">
        <v>EQUIPOS</v>
      </c>
      <c r="P177" t="str">
        <v>CLIENTE-0004</v>
      </c>
      <c r="Q177" t="str">
        <v>MADRID</v>
      </c>
      <c r="R177" s="10">
        <v>200</v>
      </c>
      <c r="S177">
        <v>43616</v>
      </c>
      <c r="T177" t="str">
        <v>SI</v>
      </c>
      <c r="V177">
        <v>424</v>
      </c>
      <c r="W177" t="str">
        <v>FORMACION</v>
      </c>
      <c r="X177" t="str">
        <v>CLIENTE-0004</v>
      </c>
      <c r="Y177" t="str">
        <v>MADRID</v>
      </c>
      <c r="Z177">
        <v>750</v>
      </c>
      <c r="AA177">
        <v>43644</v>
      </c>
      <c r="AB177" t="str">
        <v>SI</v>
      </c>
      <c r="AN177">
        <v>175</v>
      </c>
      <c r="AO177" t="str">
        <v>CONSULTORIA</v>
      </c>
      <c r="AP177" t="str">
        <v>CLIENTE-0005</v>
      </c>
      <c r="AQ177">
        <v>1200</v>
      </c>
      <c r="AR177" t="str">
        <v>SI</v>
      </c>
    </row>
    <row r="178" spans="1:44">
      <c r="A178" s="2">
        <v>177</v>
      </c>
      <c r="B178" t="s">
        <v>10</v>
      </c>
      <c r="C178" t="s">
        <v>19</v>
      </c>
      <c r="D178" t="s">
        <v>15</v>
      </c>
      <c r="E178" s="3">
        <v>200</v>
      </c>
      <c r="F178" s="4">
        <v>44082</v>
      </c>
      <c r="G178" s="2" t="s">
        <v>12</v>
      </c>
      <c r="N178">
        <v>662</v>
      </c>
      <c r="O178" t="str">
        <v>PROYECTO</v>
      </c>
      <c r="P178" t="str">
        <v>CLIENTE-0007</v>
      </c>
      <c r="Q178" t="str">
        <v>BARCELONA</v>
      </c>
      <c r="R178" s="10">
        <v>200</v>
      </c>
      <c r="S178">
        <v>44106</v>
      </c>
      <c r="T178" t="str">
        <v>SI</v>
      </c>
      <c r="V178">
        <v>430</v>
      </c>
      <c r="W178" t="str">
        <v>DESARROLLO</v>
      </c>
      <c r="X178" t="str">
        <v>CLIENTE-0010</v>
      </c>
      <c r="Y178" t="str">
        <v>MADRID</v>
      </c>
      <c r="Z178">
        <v>6500</v>
      </c>
      <c r="AA178">
        <v>44123</v>
      </c>
      <c r="AB178" t="str">
        <v>SI</v>
      </c>
      <c r="AN178">
        <v>176</v>
      </c>
      <c r="AO178" t="str">
        <v>DESARROLLO</v>
      </c>
      <c r="AP178" t="str">
        <v>CLIENTE-0006</v>
      </c>
      <c r="AQ178">
        <v>300</v>
      </c>
      <c r="AR178" t="str">
        <v>SI</v>
      </c>
    </row>
    <row r="179" spans="1:44">
      <c r="A179" s="2">
        <v>178</v>
      </c>
      <c r="B179" t="s">
        <v>13</v>
      </c>
      <c r="C179" t="s">
        <v>23</v>
      </c>
      <c r="D179" t="s">
        <v>24</v>
      </c>
      <c r="E179" s="3">
        <v>150</v>
      </c>
      <c r="F179" s="4">
        <v>44166</v>
      </c>
      <c r="G179" s="2" t="s">
        <v>12</v>
      </c>
      <c r="N179">
        <v>670</v>
      </c>
      <c r="O179" t="str">
        <v>EQUIPOS</v>
      </c>
      <c r="P179" t="str">
        <v>CLIENTE-0003</v>
      </c>
      <c r="Q179" t="str">
        <v>MADRID</v>
      </c>
      <c r="R179" s="10">
        <v>200</v>
      </c>
      <c r="S179">
        <v>43646</v>
      </c>
      <c r="T179" t="str">
        <v>SI</v>
      </c>
      <c r="V179">
        <v>431</v>
      </c>
      <c r="W179" t="str">
        <v>PROYECTO</v>
      </c>
      <c r="X179" t="str">
        <v>CLIENTE-0004</v>
      </c>
      <c r="Y179" t="str">
        <v>MADRID</v>
      </c>
      <c r="Z179">
        <v>1200</v>
      </c>
      <c r="AA179">
        <v>43940</v>
      </c>
      <c r="AB179" t="str">
        <v>SI</v>
      </c>
      <c r="AN179">
        <v>177</v>
      </c>
      <c r="AO179" t="str">
        <v>DESARROLLO</v>
      </c>
      <c r="AP179" t="str">
        <v>CLIENTE-0007</v>
      </c>
      <c r="AQ179">
        <v>200</v>
      </c>
      <c r="AR179" t="str">
        <v>SI</v>
      </c>
    </row>
    <row r="180" spans="1:44">
      <c r="A180" s="2">
        <v>179</v>
      </c>
      <c r="B180" t="s">
        <v>16</v>
      </c>
      <c r="C180" t="s">
        <v>25</v>
      </c>
      <c r="D180" t="s">
        <v>24</v>
      </c>
      <c r="E180" s="3">
        <v>120</v>
      </c>
      <c r="F180" s="4">
        <v>44056</v>
      </c>
      <c r="G180" s="2" t="s">
        <v>12</v>
      </c>
      <c r="N180">
        <v>693</v>
      </c>
      <c r="O180" t="str">
        <v>PROGRAMA</v>
      </c>
      <c r="P180" t="str">
        <v>CLIENTE-0001</v>
      </c>
      <c r="Q180" t="str">
        <v>MADRID</v>
      </c>
      <c r="R180" s="10">
        <v>200</v>
      </c>
      <c r="S180">
        <v>43582</v>
      </c>
      <c r="T180" t="str">
        <v>SI</v>
      </c>
      <c r="V180">
        <v>435</v>
      </c>
      <c r="W180" t="str">
        <v>CONSULTORIA</v>
      </c>
      <c r="X180" t="str">
        <v>CLIENTE-0003</v>
      </c>
      <c r="Y180" t="str">
        <v>MADRID</v>
      </c>
      <c r="Z180">
        <v>500</v>
      </c>
      <c r="AA180">
        <v>44526</v>
      </c>
      <c r="AB180" t="str">
        <v>SI</v>
      </c>
      <c r="AN180">
        <v>178</v>
      </c>
      <c r="AO180" t="str">
        <v>PROYECTO</v>
      </c>
      <c r="AP180" t="str">
        <v>CLIENTE-0008</v>
      </c>
      <c r="AQ180">
        <v>150</v>
      </c>
      <c r="AR180" t="str">
        <v>SI</v>
      </c>
    </row>
    <row r="181" spans="1:44">
      <c r="A181" s="2">
        <v>180</v>
      </c>
      <c r="B181" t="s">
        <v>18</v>
      </c>
      <c r="C181" t="s">
        <v>26</v>
      </c>
      <c r="D181" t="s">
        <v>9</v>
      </c>
      <c r="E181" s="3">
        <v>300</v>
      </c>
      <c r="F181" s="4">
        <v>43601</v>
      </c>
      <c r="G181" s="2" t="s">
        <v>28</v>
      </c>
      <c r="N181">
        <v>704</v>
      </c>
      <c r="O181" t="str">
        <v>EQUIPOS</v>
      </c>
      <c r="P181" t="str">
        <v>CLIENTE-0005</v>
      </c>
      <c r="Q181" t="str">
        <v>BARCELONA</v>
      </c>
      <c r="R181" s="10">
        <v>200</v>
      </c>
      <c r="S181">
        <v>44180</v>
      </c>
      <c r="T181" t="str">
        <v>NO</v>
      </c>
      <c r="V181">
        <v>436</v>
      </c>
      <c r="W181" t="str">
        <v>DESARROLLO</v>
      </c>
      <c r="X181" t="str">
        <v>CLIENTE-0004</v>
      </c>
      <c r="Y181" t="str">
        <v>MADRID</v>
      </c>
      <c r="Z181">
        <v>750</v>
      </c>
      <c r="AA181">
        <v>44538</v>
      </c>
      <c r="AB181" t="str">
        <v>SI</v>
      </c>
      <c r="AN181">
        <v>179</v>
      </c>
      <c r="AO181" t="str">
        <v>EQUIPOS</v>
      </c>
      <c r="AP181" t="str">
        <v>CLIENTE-0009</v>
      </c>
      <c r="AQ181">
        <v>120</v>
      </c>
      <c r="AR181" t="str">
        <v>SI</v>
      </c>
    </row>
    <row r="182" spans="1:44">
      <c r="A182" s="2">
        <v>181</v>
      </c>
      <c r="B182" t="s">
        <v>20</v>
      </c>
      <c r="C182" t="s">
        <v>11</v>
      </c>
      <c r="D182" t="s">
        <v>9</v>
      </c>
      <c r="E182" s="3">
        <v>350</v>
      </c>
      <c r="F182" s="4">
        <v>43893</v>
      </c>
      <c r="G182" s="2" t="s">
        <v>28</v>
      </c>
      <c r="N182">
        <v>735</v>
      </c>
      <c r="O182" t="str">
        <v>FORMACION</v>
      </c>
      <c r="P182" t="str">
        <v>CLIENTE-0004</v>
      </c>
      <c r="Q182" t="str">
        <v>MADRID</v>
      </c>
      <c r="R182" s="10">
        <v>200</v>
      </c>
      <c r="S182">
        <v>43936</v>
      </c>
      <c r="T182" t="str">
        <v>SI</v>
      </c>
      <c r="V182">
        <v>443</v>
      </c>
      <c r="W182" t="str">
        <v>FORMACION</v>
      </c>
      <c r="X182" t="str">
        <v>CLIENTE-0010</v>
      </c>
      <c r="Y182" t="str">
        <v>MADRID</v>
      </c>
      <c r="Z182">
        <v>8500</v>
      </c>
      <c r="AA182">
        <v>44278</v>
      </c>
      <c r="AB182" t="str">
        <v>NO</v>
      </c>
      <c r="AN182">
        <v>180</v>
      </c>
      <c r="AO182" t="str">
        <v>PROGRAMA</v>
      </c>
      <c r="AP182" t="str">
        <v>CLIENTE-0010</v>
      </c>
      <c r="AQ182">
        <v>300</v>
      </c>
      <c r="AR182" t="str">
        <v>NO</v>
      </c>
    </row>
    <row r="183" spans="1:44">
      <c r="A183" s="2">
        <v>182</v>
      </c>
      <c r="B183" t="s">
        <v>22</v>
      </c>
      <c r="C183" t="s">
        <v>14</v>
      </c>
      <c r="D183" t="s">
        <v>15</v>
      </c>
      <c r="E183" s="3">
        <v>300</v>
      </c>
      <c r="F183" s="4">
        <v>44198</v>
      </c>
      <c r="G183" s="2" t="s">
        <v>28</v>
      </c>
      <c r="N183">
        <v>758</v>
      </c>
      <c r="O183" t="str">
        <v>EQUIPOS</v>
      </c>
      <c r="P183" t="str">
        <v>CLIENTE-0005</v>
      </c>
      <c r="Q183" t="str">
        <v>BARCELONA</v>
      </c>
      <c r="R183" s="10">
        <v>200</v>
      </c>
      <c r="S183">
        <v>43869</v>
      </c>
      <c r="T183" t="str">
        <v>NO</v>
      </c>
      <c r="V183">
        <v>444</v>
      </c>
      <c r="W183" t="str">
        <v>CONSULTORIA</v>
      </c>
      <c r="X183" t="str">
        <v>CLIENTE-0001</v>
      </c>
      <c r="Y183" t="str">
        <v>MADRID</v>
      </c>
      <c r="Z183">
        <v>1200</v>
      </c>
      <c r="AA183">
        <v>44195</v>
      </c>
      <c r="AB183" t="str">
        <v>SI</v>
      </c>
      <c r="AN183">
        <v>181</v>
      </c>
      <c r="AO183" t="str">
        <v>FORMACION</v>
      </c>
      <c r="AP183" t="str">
        <v>CLIENTE-0004</v>
      </c>
      <c r="AQ183">
        <v>350</v>
      </c>
      <c r="AR183" t="str">
        <v>NO</v>
      </c>
    </row>
    <row r="184" spans="1:44">
      <c r="A184" s="2">
        <v>183</v>
      </c>
      <c r="B184" t="s">
        <v>10</v>
      </c>
      <c r="C184" t="s">
        <v>14</v>
      </c>
      <c r="D184" t="s">
        <v>15</v>
      </c>
      <c r="E184" s="3">
        <v>120</v>
      </c>
      <c r="F184" s="4">
        <v>44139</v>
      </c>
      <c r="G184" s="2" t="s">
        <v>28</v>
      </c>
      <c r="N184">
        <v>769</v>
      </c>
      <c r="O184" t="str">
        <v>PROGRAMA</v>
      </c>
      <c r="P184" t="str">
        <v>CLIENTE-0008</v>
      </c>
      <c r="Q184" t="str">
        <v>ALICANTE</v>
      </c>
      <c r="R184" s="10">
        <v>200</v>
      </c>
      <c r="S184">
        <v>44342</v>
      </c>
      <c r="T184" t="str">
        <v>SI</v>
      </c>
      <c r="V184">
        <v>445</v>
      </c>
      <c r="W184" t="str">
        <v>DESARROLLO</v>
      </c>
      <c r="X184" t="str">
        <v>CLIENTE-0010</v>
      </c>
      <c r="Y184" t="str">
        <v>MADRID</v>
      </c>
      <c r="Z184">
        <v>300</v>
      </c>
      <c r="AA184">
        <v>43644</v>
      </c>
      <c r="AB184" t="str">
        <v>SI</v>
      </c>
      <c r="AN184">
        <v>182</v>
      </c>
      <c r="AO184" t="str">
        <v>CONSULTORIA</v>
      </c>
      <c r="AP184" t="str">
        <v>CLIENTE-0005</v>
      </c>
      <c r="AQ184">
        <v>300</v>
      </c>
      <c r="AR184" t="str">
        <v>NO</v>
      </c>
    </row>
    <row r="185" spans="1:44">
      <c r="A185" s="2">
        <v>184</v>
      </c>
      <c r="B185" t="s">
        <v>13</v>
      </c>
      <c r="C185" t="s">
        <v>17</v>
      </c>
      <c r="D185" t="s">
        <v>15</v>
      </c>
      <c r="E185" s="3">
        <v>150</v>
      </c>
      <c r="F185" s="4">
        <v>43673</v>
      </c>
      <c r="G185" s="2" t="s">
        <v>28</v>
      </c>
      <c r="N185">
        <v>15</v>
      </c>
      <c r="O185" t="str">
        <v>EQUIPOS</v>
      </c>
      <c r="P185" t="str">
        <v>CLIENTE-0010</v>
      </c>
      <c r="Q185" t="str">
        <v>MADRID</v>
      </c>
      <c r="R185" s="10">
        <v>300</v>
      </c>
      <c r="S185">
        <v>43517</v>
      </c>
      <c r="T185" t="str">
        <v>NO</v>
      </c>
      <c r="V185">
        <v>446</v>
      </c>
      <c r="W185" t="str">
        <v>PROYECTO</v>
      </c>
      <c r="X185" t="str">
        <v>CLIENTE-0001</v>
      </c>
      <c r="Y185" t="str">
        <v>MADRID</v>
      </c>
      <c r="Z185">
        <v>200</v>
      </c>
      <c r="AA185">
        <v>44044</v>
      </c>
      <c r="AB185" t="str">
        <v>SI</v>
      </c>
      <c r="AN185">
        <v>183</v>
      </c>
      <c r="AO185" t="str">
        <v>DESARROLLO</v>
      </c>
      <c r="AP185" t="str">
        <v>CLIENTE-0005</v>
      </c>
      <c r="AQ185">
        <v>120</v>
      </c>
      <c r="AR185" t="str">
        <v>NO</v>
      </c>
    </row>
    <row r="186" spans="1:44">
      <c r="A186" s="2">
        <v>185</v>
      </c>
      <c r="B186" t="s">
        <v>16</v>
      </c>
      <c r="C186" t="s">
        <v>19</v>
      </c>
      <c r="D186" t="s">
        <v>15</v>
      </c>
      <c r="E186" s="3">
        <v>8500</v>
      </c>
      <c r="F186" s="4">
        <v>43993</v>
      </c>
      <c r="G186" s="2" t="s">
        <v>28</v>
      </c>
      <c r="N186">
        <v>19</v>
      </c>
      <c r="O186" t="str">
        <v>EQUIPOS</v>
      </c>
      <c r="P186" t="str">
        <v>CLIENTE-0004</v>
      </c>
      <c r="Q186" t="str">
        <v>MADRID</v>
      </c>
      <c r="R186" s="10">
        <v>300</v>
      </c>
      <c r="S186">
        <v>43800</v>
      </c>
      <c r="T186" t="str">
        <v>NO</v>
      </c>
      <c r="V186">
        <v>448</v>
      </c>
      <c r="W186" t="str">
        <v>CONSULTORIA</v>
      </c>
      <c r="X186" t="str">
        <v>CLIENTE-0003</v>
      </c>
      <c r="Y186" t="str">
        <v>MADRID</v>
      </c>
      <c r="Z186">
        <v>120</v>
      </c>
      <c r="AA186">
        <v>44378</v>
      </c>
      <c r="AB186" t="str">
        <v>SI</v>
      </c>
      <c r="AN186">
        <v>184</v>
      </c>
      <c r="AO186" t="str">
        <v>PROYECTO</v>
      </c>
      <c r="AP186" t="str">
        <v>CLIENTE-0006</v>
      </c>
      <c r="AQ186">
        <v>150</v>
      </c>
      <c r="AR186" t="str">
        <v>NO</v>
      </c>
    </row>
    <row r="187" spans="1:44">
      <c r="A187" s="2">
        <v>186</v>
      </c>
      <c r="B187" t="s">
        <v>18</v>
      </c>
      <c r="C187" t="s">
        <v>23</v>
      </c>
      <c r="D187" t="s">
        <v>24</v>
      </c>
      <c r="E187" s="3">
        <v>1200</v>
      </c>
      <c r="F187" s="4">
        <v>44351</v>
      </c>
      <c r="G187" s="2" t="s">
        <v>28</v>
      </c>
      <c r="N187">
        <v>21</v>
      </c>
      <c r="O187" t="str">
        <v>FORMACION</v>
      </c>
      <c r="P187" t="str">
        <v>CLIENTE-0006</v>
      </c>
      <c r="Q187" t="str">
        <v>BARCELONA</v>
      </c>
      <c r="R187" s="10">
        <v>300</v>
      </c>
      <c r="S187">
        <v>43740</v>
      </c>
      <c r="T187" t="str">
        <v>NO</v>
      </c>
      <c r="V187">
        <v>449</v>
      </c>
      <c r="W187" t="str">
        <v>DESARROLLO</v>
      </c>
      <c r="X187" t="str">
        <v>CLIENTE-0004</v>
      </c>
      <c r="Y187" t="str">
        <v>MADRID</v>
      </c>
      <c r="Z187">
        <v>300</v>
      </c>
      <c r="AA187">
        <v>44040</v>
      </c>
      <c r="AB187" t="str">
        <v>SI</v>
      </c>
      <c r="AN187">
        <v>185</v>
      </c>
      <c r="AO187" t="str">
        <v>EQUIPOS</v>
      </c>
      <c r="AP187" t="str">
        <v>CLIENTE-0007</v>
      </c>
      <c r="AQ187">
        <v>8500</v>
      </c>
      <c r="AR187" t="str">
        <v>NO</v>
      </c>
    </row>
    <row r="188" spans="1:44">
      <c r="A188" s="2">
        <v>187</v>
      </c>
      <c r="B188" t="s">
        <v>20</v>
      </c>
      <c r="C188" t="s">
        <v>25</v>
      </c>
      <c r="D188" t="s">
        <v>24</v>
      </c>
      <c r="E188" s="3">
        <v>300</v>
      </c>
      <c r="F188" s="4">
        <v>44377</v>
      </c>
      <c r="G188" s="2" t="s">
        <v>12</v>
      </c>
      <c r="N188">
        <v>38</v>
      </c>
      <c r="O188" t="str">
        <v>EQUIPOS</v>
      </c>
      <c r="P188" t="str">
        <v>CLIENTE-0003</v>
      </c>
      <c r="Q188" t="str">
        <v>MADRID</v>
      </c>
      <c r="R188" s="10">
        <v>300</v>
      </c>
      <c r="S188">
        <v>44363</v>
      </c>
      <c r="T188" t="str">
        <v>SI</v>
      </c>
      <c r="V188">
        <v>455</v>
      </c>
      <c r="W188" t="str">
        <v>DESARROLLO</v>
      </c>
      <c r="X188" t="str">
        <v>CLIENTE-0010</v>
      </c>
      <c r="Y188" t="str">
        <v>MADRID</v>
      </c>
      <c r="Z188">
        <v>800</v>
      </c>
      <c r="AA188">
        <v>43605</v>
      </c>
      <c r="AB188" t="str">
        <v>NO</v>
      </c>
      <c r="AN188">
        <v>186</v>
      </c>
      <c r="AO188" t="str">
        <v>PROGRAMA</v>
      </c>
      <c r="AP188" t="str">
        <v>CLIENTE-0008</v>
      </c>
      <c r="AQ188">
        <v>1200</v>
      </c>
      <c r="AR188" t="str">
        <v>NO</v>
      </c>
    </row>
    <row r="189" spans="1:44">
      <c r="A189" s="2">
        <v>188</v>
      </c>
      <c r="B189" t="s">
        <v>22</v>
      </c>
      <c r="C189" t="s">
        <v>26</v>
      </c>
      <c r="D189" t="s">
        <v>9</v>
      </c>
      <c r="E189" s="3">
        <v>200</v>
      </c>
      <c r="F189" s="4">
        <v>43561</v>
      </c>
      <c r="G189" s="2" t="s">
        <v>12</v>
      </c>
      <c r="N189">
        <v>42</v>
      </c>
      <c r="O189" t="str">
        <v>DESARROLLO</v>
      </c>
      <c r="P189" t="str">
        <v>CLIENTE-0007</v>
      </c>
      <c r="Q189" t="str">
        <v>BARCELONA</v>
      </c>
      <c r="R189" s="10">
        <v>300</v>
      </c>
      <c r="S189">
        <v>44373</v>
      </c>
      <c r="T189" t="str">
        <v>SI</v>
      </c>
      <c r="V189">
        <v>456</v>
      </c>
      <c r="W189" t="str">
        <v>PROYECTO</v>
      </c>
      <c r="X189" t="str">
        <v>CLIENTE-0004</v>
      </c>
      <c r="Y189" t="str">
        <v>MADRID</v>
      </c>
      <c r="Z189">
        <v>750</v>
      </c>
      <c r="AA189">
        <v>44275</v>
      </c>
      <c r="AB189" t="str">
        <v>NO</v>
      </c>
      <c r="AN189">
        <v>187</v>
      </c>
      <c r="AO189" t="str">
        <v>FORMACION</v>
      </c>
      <c r="AP189" t="str">
        <v>CLIENTE-0009</v>
      </c>
      <c r="AQ189">
        <v>300</v>
      </c>
      <c r="AR189" t="str">
        <v>SI</v>
      </c>
    </row>
    <row r="190" spans="1:44">
      <c r="A190" s="2">
        <v>189</v>
      </c>
      <c r="B190" t="s">
        <v>10</v>
      </c>
      <c r="C190" t="s">
        <v>27</v>
      </c>
      <c r="D190" t="s">
        <v>9</v>
      </c>
      <c r="E190" s="3">
        <v>150</v>
      </c>
      <c r="F190" s="4">
        <v>44303</v>
      </c>
      <c r="G190" s="2" t="s">
        <v>12</v>
      </c>
      <c r="N190">
        <v>44</v>
      </c>
      <c r="O190" t="str">
        <v>EQUIPOS</v>
      </c>
      <c r="P190" t="str">
        <v>CLIENTE-0009</v>
      </c>
      <c r="Q190" t="str">
        <v>ALICANTE</v>
      </c>
      <c r="R190" s="10">
        <v>300</v>
      </c>
      <c r="S190">
        <v>44382</v>
      </c>
      <c r="T190" t="str">
        <v>NO</v>
      </c>
      <c r="V190">
        <v>463</v>
      </c>
      <c r="W190" t="str">
        <v>EQUIPOS</v>
      </c>
      <c r="X190" t="str">
        <v>CLIENTE-0010</v>
      </c>
      <c r="Y190" t="str">
        <v>MADRID</v>
      </c>
      <c r="Z190">
        <v>1500</v>
      </c>
      <c r="AA190">
        <v>44159</v>
      </c>
      <c r="AB190" t="str">
        <v>SI</v>
      </c>
      <c r="AN190">
        <v>188</v>
      </c>
      <c r="AO190" t="str">
        <v>CONSULTORIA</v>
      </c>
      <c r="AP190" t="str">
        <v>CLIENTE-0010</v>
      </c>
      <c r="AQ190">
        <v>200</v>
      </c>
      <c r="AR190" t="str">
        <v>SI</v>
      </c>
    </row>
    <row r="191" spans="1:44">
      <c r="A191" s="2">
        <v>190</v>
      </c>
      <c r="B191" t="s">
        <v>13</v>
      </c>
      <c r="C191" t="s">
        <v>26</v>
      </c>
      <c r="D191" t="s">
        <v>9</v>
      </c>
      <c r="E191" s="3">
        <v>120</v>
      </c>
      <c r="F191" s="4">
        <v>43715</v>
      </c>
      <c r="G191" s="2" t="s">
        <v>12</v>
      </c>
      <c r="N191">
        <v>49</v>
      </c>
      <c r="O191" t="str">
        <v>PROYECTO</v>
      </c>
      <c r="P191" t="str">
        <v>CLIENTE-0007</v>
      </c>
      <c r="Q191" t="str">
        <v>BARCELONA</v>
      </c>
      <c r="R191" s="10">
        <v>300</v>
      </c>
      <c r="S191">
        <v>44202</v>
      </c>
      <c r="T191" t="str">
        <v>NO</v>
      </c>
      <c r="V191">
        <v>464</v>
      </c>
      <c r="W191" t="str">
        <v>PROGRAMA</v>
      </c>
      <c r="X191" t="str">
        <v>CLIENTE-0001</v>
      </c>
      <c r="Y191" t="str">
        <v>MADRID</v>
      </c>
      <c r="Z191">
        <v>5000</v>
      </c>
      <c r="AA191">
        <v>43913</v>
      </c>
      <c r="AB191" t="str">
        <v>SI</v>
      </c>
      <c r="AN191">
        <v>189</v>
      </c>
      <c r="AO191" t="str">
        <v>DESARROLLO</v>
      </c>
      <c r="AP191" t="str">
        <v>CLIENTE-0001</v>
      </c>
      <c r="AQ191">
        <v>150</v>
      </c>
      <c r="AR191" t="str">
        <v>SI</v>
      </c>
    </row>
    <row r="192" spans="1:44">
      <c r="A192" s="2">
        <v>191</v>
      </c>
      <c r="B192" t="s">
        <v>16</v>
      </c>
      <c r="C192" t="s">
        <v>27</v>
      </c>
      <c r="D192" t="s">
        <v>9</v>
      </c>
      <c r="E192" s="3">
        <v>300</v>
      </c>
      <c r="F192" s="4">
        <v>44532</v>
      </c>
      <c r="G192" s="2" t="s">
        <v>12</v>
      </c>
      <c r="N192">
        <v>53</v>
      </c>
      <c r="O192" t="str">
        <v>CONSULTORIA</v>
      </c>
      <c r="P192" t="str">
        <v>CLIENTE-0005</v>
      </c>
      <c r="Q192" t="str">
        <v>BARCELONA</v>
      </c>
      <c r="R192" s="10">
        <v>300</v>
      </c>
      <c r="S192">
        <v>44216</v>
      </c>
      <c r="T192" t="str">
        <v>SI</v>
      </c>
      <c r="V192">
        <v>465</v>
      </c>
      <c r="W192" t="str">
        <v>FORMACION</v>
      </c>
      <c r="X192" t="str">
        <v>CLIENTE-0010</v>
      </c>
      <c r="Y192" t="str">
        <v>MADRID</v>
      </c>
      <c r="Z192">
        <v>6500</v>
      </c>
      <c r="AA192">
        <v>44275</v>
      </c>
      <c r="AB192" t="str">
        <v>SI</v>
      </c>
      <c r="AN192">
        <v>190</v>
      </c>
      <c r="AO192" t="str">
        <v>PROYECTO</v>
      </c>
      <c r="AP192" t="str">
        <v>CLIENTE-0010</v>
      </c>
      <c r="AQ192">
        <v>120</v>
      </c>
      <c r="AR192" t="str">
        <v>SI</v>
      </c>
    </row>
    <row r="193" spans="1:44">
      <c r="A193" s="2">
        <v>192</v>
      </c>
      <c r="B193" t="s">
        <v>22</v>
      </c>
      <c r="C193" t="s">
        <v>29</v>
      </c>
      <c r="D193" t="s">
        <v>24</v>
      </c>
      <c r="E193" s="3">
        <v>350</v>
      </c>
      <c r="F193" s="4">
        <v>43858</v>
      </c>
      <c r="G193" s="2" t="s">
        <v>12</v>
      </c>
      <c r="N193">
        <v>55</v>
      </c>
      <c r="O193" t="str">
        <v>PROYECTO</v>
      </c>
      <c r="P193" t="str">
        <v>CLIENTE-0007</v>
      </c>
      <c r="Q193" t="str">
        <v>BARCELONA</v>
      </c>
      <c r="R193" s="10">
        <v>300</v>
      </c>
      <c r="S193">
        <v>44141</v>
      </c>
      <c r="T193" t="str">
        <v>SI</v>
      </c>
      <c r="V193">
        <v>466</v>
      </c>
      <c r="W193" t="str">
        <v>CONSULTORIA</v>
      </c>
      <c r="X193" t="str">
        <v>CLIENTE-0001</v>
      </c>
      <c r="Y193" t="str">
        <v>MADRID</v>
      </c>
      <c r="Z193">
        <v>8500</v>
      </c>
      <c r="AA193">
        <v>43898</v>
      </c>
      <c r="AB193" t="str">
        <v>SI</v>
      </c>
      <c r="AN193">
        <v>191</v>
      </c>
      <c r="AO193" t="str">
        <v>EQUIPOS</v>
      </c>
      <c r="AP193" t="str">
        <v>CLIENTE-0001</v>
      </c>
      <c r="AQ193">
        <v>300</v>
      </c>
      <c r="AR193" t="str">
        <v>SI</v>
      </c>
    </row>
    <row r="194" spans="1:44">
      <c r="A194" s="2">
        <v>193</v>
      </c>
      <c r="B194" t="s">
        <v>10</v>
      </c>
      <c r="C194" t="s">
        <v>21</v>
      </c>
      <c r="D194" t="s">
        <v>9</v>
      </c>
      <c r="E194" s="3">
        <v>300</v>
      </c>
      <c r="F194" s="4">
        <v>43700</v>
      </c>
      <c r="G194" s="2" t="s">
        <v>12</v>
      </c>
      <c r="N194">
        <v>84</v>
      </c>
      <c r="O194" t="str">
        <v>EQUIPOS</v>
      </c>
      <c r="P194" t="str">
        <v>CLIENTE-0004</v>
      </c>
      <c r="Q194" t="str">
        <v>MADRID</v>
      </c>
      <c r="R194" s="10">
        <v>300</v>
      </c>
      <c r="S194">
        <v>43657</v>
      </c>
      <c r="T194" t="str">
        <v>NO</v>
      </c>
      <c r="V194">
        <v>468</v>
      </c>
      <c r="W194" t="str">
        <v>PROYECTO</v>
      </c>
      <c r="X194" t="str">
        <v>CLIENTE-0003</v>
      </c>
      <c r="Y194" t="str">
        <v>MADRID</v>
      </c>
      <c r="Z194">
        <v>300</v>
      </c>
      <c r="AA194">
        <v>43675</v>
      </c>
      <c r="AB194" t="str">
        <v>SI</v>
      </c>
      <c r="AN194">
        <v>192</v>
      </c>
      <c r="AO194" t="str">
        <v>CONSULTORIA</v>
      </c>
      <c r="AP194" t="str">
        <v>CLIENTE-0002</v>
      </c>
      <c r="AQ194">
        <v>350</v>
      </c>
      <c r="AR194" t="str">
        <v>SI</v>
      </c>
    </row>
    <row r="195" spans="1:44">
      <c r="A195" s="2">
        <v>194</v>
      </c>
      <c r="B195" t="s">
        <v>13</v>
      </c>
      <c r="C195" t="s">
        <v>11</v>
      </c>
      <c r="D195" t="s">
        <v>9</v>
      </c>
      <c r="E195" s="3">
        <v>120</v>
      </c>
      <c r="F195" s="4">
        <v>44478</v>
      </c>
      <c r="G195" s="2" t="s">
        <v>12</v>
      </c>
      <c r="N195">
        <v>88</v>
      </c>
      <c r="O195" t="str">
        <v>DESARROLLO</v>
      </c>
      <c r="P195" t="str">
        <v>CLIENTE-0008</v>
      </c>
      <c r="Q195" t="str">
        <v>ALICANTE</v>
      </c>
      <c r="R195" s="10">
        <v>300</v>
      </c>
      <c r="S195">
        <v>44327</v>
      </c>
      <c r="T195" t="str">
        <v>NO</v>
      </c>
      <c r="V195">
        <v>469</v>
      </c>
      <c r="W195" t="str">
        <v>EQUIPOS</v>
      </c>
      <c r="X195" t="str">
        <v>CLIENTE-0004</v>
      </c>
      <c r="Y195" t="str">
        <v>MADRID</v>
      </c>
      <c r="Z195">
        <v>200</v>
      </c>
      <c r="AA195">
        <v>43824</v>
      </c>
      <c r="AB195" t="str">
        <v>SI</v>
      </c>
      <c r="AN195">
        <v>193</v>
      </c>
      <c r="AO195" t="str">
        <v>DESARROLLO</v>
      </c>
      <c r="AP195" t="str">
        <v>CLIENTE-0003</v>
      </c>
      <c r="AQ195">
        <v>300</v>
      </c>
      <c r="AR195" t="str">
        <v>SI</v>
      </c>
    </row>
    <row r="196" spans="1:44">
      <c r="A196" s="2">
        <v>195</v>
      </c>
      <c r="B196" t="s">
        <v>16</v>
      </c>
      <c r="C196" t="s">
        <v>14</v>
      </c>
      <c r="D196" t="s">
        <v>15</v>
      </c>
      <c r="E196" s="3">
        <v>150</v>
      </c>
      <c r="F196" s="4">
        <v>44438</v>
      </c>
      <c r="G196" s="2" t="s">
        <v>12</v>
      </c>
      <c r="N196">
        <v>90</v>
      </c>
      <c r="O196" t="str">
        <v>PROYECTO</v>
      </c>
      <c r="P196" t="str">
        <v>CLIENTE-0010</v>
      </c>
      <c r="Q196" t="str">
        <v>MADRID</v>
      </c>
      <c r="R196" s="10">
        <v>300</v>
      </c>
      <c r="S196">
        <v>43675</v>
      </c>
      <c r="T196" t="str">
        <v>NO</v>
      </c>
      <c r="V196">
        <v>475</v>
      </c>
      <c r="W196" t="str">
        <v>EQUIPOS</v>
      </c>
      <c r="X196" t="str">
        <v>CLIENTE-0010</v>
      </c>
      <c r="Y196" t="str">
        <v>MADRID</v>
      </c>
      <c r="Z196">
        <v>120</v>
      </c>
      <c r="AA196">
        <v>43612</v>
      </c>
      <c r="AB196" t="str">
        <v>SI</v>
      </c>
      <c r="AN196">
        <v>194</v>
      </c>
      <c r="AO196" t="str">
        <v>PROYECTO</v>
      </c>
      <c r="AP196" t="str">
        <v>CLIENTE-0004</v>
      </c>
      <c r="AQ196">
        <v>120</v>
      </c>
      <c r="AR196" t="str">
        <v>SI</v>
      </c>
    </row>
    <row r="197" spans="1:44">
      <c r="A197" s="2">
        <v>196</v>
      </c>
      <c r="B197" t="s">
        <v>18</v>
      </c>
      <c r="C197" t="s">
        <v>17</v>
      </c>
      <c r="D197" t="s">
        <v>15</v>
      </c>
      <c r="E197" s="3">
        <v>1200</v>
      </c>
      <c r="F197" s="4">
        <v>43869</v>
      </c>
      <c r="G197" s="2" t="s">
        <v>12</v>
      </c>
      <c r="N197">
        <v>107</v>
      </c>
      <c r="O197" t="str">
        <v>EQUIPOS</v>
      </c>
      <c r="P197" t="str">
        <v>CLIENTE-0002</v>
      </c>
      <c r="Q197" t="str">
        <v>ALICANTE</v>
      </c>
      <c r="R197" s="10">
        <v>300</v>
      </c>
      <c r="S197">
        <v>44080</v>
      </c>
      <c r="T197" t="str">
        <v>SI</v>
      </c>
      <c r="V197">
        <v>476</v>
      </c>
      <c r="W197" t="str">
        <v>PROGRAMA</v>
      </c>
      <c r="X197" t="str">
        <v>CLIENTE-0004</v>
      </c>
      <c r="Y197" t="str">
        <v>MADRID</v>
      </c>
      <c r="Z197">
        <v>150</v>
      </c>
      <c r="AA197">
        <v>43691</v>
      </c>
      <c r="AB197" t="str">
        <v>SI</v>
      </c>
      <c r="AN197">
        <v>195</v>
      </c>
      <c r="AO197" t="str">
        <v>EQUIPOS</v>
      </c>
      <c r="AP197" t="str">
        <v>CLIENTE-0005</v>
      </c>
      <c r="AQ197">
        <v>150</v>
      </c>
      <c r="AR197" t="str">
        <v>SI</v>
      </c>
    </row>
    <row r="198" spans="1:44">
      <c r="A198" s="2">
        <v>197</v>
      </c>
      <c r="B198" t="s">
        <v>20</v>
      </c>
      <c r="C198" t="s">
        <v>19</v>
      </c>
      <c r="D198" t="s">
        <v>15</v>
      </c>
      <c r="E198" s="3">
        <v>800</v>
      </c>
      <c r="F198" s="4">
        <v>43963</v>
      </c>
      <c r="G198" s="2" t="s">
        <v>12</v>
      </c>
      <c r="N198">
        <v>111</v>
      </c>
      <c r="O198" t="str">
        <v>DESARROLLO</v>
      </c>
      <c r="P198" t="str">
        <v>CLIENTE-0006</v>
      </c>
      <c r="Q198" t="str">
        <v>BARCELONA</v>
      </c>
      <c r="R198" s="10">
        <v>300</v>
      </c>
      <c r="S198">
        <v>44170</v>
      </c>
      <c r="T198" t="str">
        <v>NO</v>
      </c>
      <c r="V198">
        <v>480</v>
      </c>
      <c r="W198" t="str">
        <v>PROYECTO</v>
      </c>
      <c r="X198" t="str">
        <v>CLIENTE-0003</v>
      </c>
      <c r="Y198" t="str">
        <v>MADRID</v>
      </c>
      <c r="Z198">
        <v>200</v>
      </c>
      <c r="AA198">
        <v>43931</v>
      </c>
      <c r="AB198" t="str">
        <v>NO</v>
      </c>
      <c r="AN198">
        <v>196</v>
      </c>
      <c r="AO198" t="str">
        <v>PROGRAMA</v>
      </c>
      <c r="AP198" t="str">
        <v>CLIENTE-0006</v>
      </c>
      <c r="AQ198">
        <v>1200</v>
      </c>
      <c r="AR198" t="str">
        <v>SI</v>
      </c>
    </row>
    <row r="199" spans="1:44">
      <c r="A199" s="2">
        <v>198</v>
      </c>
      <c r="B199" t="s">
        <v>22</v>
      </c>
      <c r="C199" t="s">
        <v>23</v>
      </c>
      <c r="D199" t="s">
        <v>24</v>
      </c>
      <c r="E199" s="3">
        <v>750</v>
      </c>
      <c r="F199" s="4">
        <v>43576</v>
      </c>
      <c r="G199" s="2" t="s">
        <v>12</v>
      </c>
      <c r="N199">
        <v>113</v>
      </c>
      <c r="O199" t="str">
        <v>EQUIPOS</v>
      </c>
      <c r="P199" t="str">
        <v>CLIENTE-0008</v>
      </c>
      <c r="Q199" t="str">
        <v>ALICANTE</v>
      </c>
      <c r="R199" s="10">
        <v>300</v>
      </c>
      <c r="S199">
        <v>44384</v>
      </c>
      <c r="T199" t="str">
        <v>NO</v>
      </c>
      <c r="V199">
        <v>481</v>
      </c>
      <c r="W199" t="str">
        <v>EQUIPOS</v>
      </c>
      <c r="X199" t="str">
        <v>CLIENTE-0004</v>
      </c>
      <c r="Y199" t="str">
        <v>MADRID</v>
      </c>
      <c r="Z199">
        <v>150</v>
      </c>
      <c r="AA199">
        <v>44012</v>
      </c>
      <c r="AB199" t="str">
        <v>NO</v>
      </c>
      <c r="AN199">
        <v>197</v>
      </c>
      <c r="AO199" t="str">
        <v>FORMACION</v>
      </c>
      <c r="AP199" t="str">
        <v>CLIENTE-0007</v>
      </c>
      <c r="AQ199">
        <v>800</v>
      </c>
      <c r="AR199" t="str">
        <v>SI</v>
      </c>
    </row>
    <row r="200" spans="1:44">
      <c r="A200" s="2">
        <v>199</v>
      </c>
      <c r="B200" t="s">
        <v>10</v>
      </c>
      <c r="C200" t="s">
        <v>25</v>
      </c>
      <c r="D200" t="s">
        <v>24</v>
      </c>
      <c r="E200" s="3">
        <v>4500</v>
      </c>
      <c r="F200" s="4">
        <v>43504</v>
      </c>
      <c r="G200" s="2" t="s">
        <v>12</v>
      </c>
      <c r="N200">
        <v>118</v>
      </c>
      <c r="O200" t="str">
        <v>FORMACION</v>
      </c>
      <c r="P200" t="str">
        <v>CLIENTE-0005</v>
      </c>
      <c r="Q200" t="str">
        <v>BARCELONA</v>
      </c>
      <c r="R200" s="10">
        <v>300</v>
      </c>
      <c r="S200">
        <v>43811</v>
      </c>
      <c r="T200" t="str">
        <v>SI</v>
      </c>
      <c r="V200">
        <v>488</v>
      </c>
      <c r="W200" t="str">
        <v>CONSULTORIA</v>
      </c>
      <c r="X200" t="str">
        <v>CLIENTE-0010</v>
      </c>
      <c r="Y200" t="str">
        <v>MADRID</v>
      </c>
      <c r="Z200">
        <v>1200</v>
      </c>
      <c r="AA200">
        <v>44345</v>
      </c>
      <c r="AB200" t="str">
        <v>SI</v>
      </c>
      <c r="AN200">
        <v>198</v>
      </c>
      <c r="AO200" t="str">
        <v>CONSULTORIA</v>
      </c>
      <c r="AP200" t="str">
        <v>CLIENTE-0008</v>
      </c>
      <c r="AQ200">
        <v>750</v>
      </c>
      <c r="AR200" t="str">
        <v>SI</v>
      </c>
    </row>
    <row r="201" spans="1:44">
      <c r="A201" s="2">
        <v>200</v>
      </c>
      <c r="B201" t="s">
        <v>13</v>
      </c>
      <c r="C201" t="s">
        <v>26</v>
      </c>
      <c r="D201" t="s">
        <v>9</v>
      </c>
      <c r="E201" s="3">
        <v>500</v>
      </c>
      <c r="F201" s="4">
        <v>43583</v>
      </c>
      <c r="G201" s="2" t="s">
        <v>12</v>
      </c>
      <c r="N201">
        <v>122</v>
      </c>
      <c r="O201" t="str">
        <v>EQUIPOS</v>
      </c>
      <c r="P201" t="str">
        <v>CLIENTE-0009</v>
      </c>
      <c r="Q201" t="str">
        <v>ALICANTE</v>
      </c>
      <c r="R201" s="10">
        <v>300</v>
      </c>
      <c r="S201">
        <v>43615</v>
      </c>
      <c r="T201" t="str">
        <v>SI</v>
      </c>
      <c r="V201">
        <v>489</v>
      </c>
      <c r="W201" t="str">
        <v>DESARROLLO</v>
      </c>
      <c r="X201" t="str">
        <v>CLIENTE-0001</v>
      </c>
      <c r="Y201" t="str">
        <v>MADRID</v>
      </c>
      <c r="Z201">
        <v>800</v>
      </c>
      <c r="AA201">
        <v>43669</v>
      </c>
      <c r="AB201" t="str">
        <v>SI</v>
      </c>
      <c r="AN201">
        <v>199</v>
      </c>
      <c r="AO201" t="str">
        <v>DESARROLLO</v>
      </c>
      <c r="AP201" t="str">
        <v>CLIENTE-0009</v>
      </c>
      <c r="AQ201">
        <v>4500</v>
      </c>
      <c r="AR201" t="str">
        <v>SI</v>
      </c>
    </row>
    <row r="202" spans="1:44">
      <c r="A202" s="2">
        <v>201</v>
      </c>
      <c r="B202" t="s">
        <v>16</v>
      </c>
      <c r="C202" t="s">
        <v>11</v>
      </c>
      <c r="D202" t="s">
        <v>9</v>
      </c>
      <c r="E202" s="3">
        <v>750</v>
      </c>
      <c r="F202" s="4">
        <v>44437</v>
      </c>
      <c r="G202" s="2" t="s">
        <v>12</v>
      </c>
      <c r="N202">
        <v>124</v>
      </c>
      <c r="O202" t="str">
        <v>DESARROLLO</v>
      </c>
      <c r="P202" t="str">
        <v>CLIENTE-0001</v>
      </c>
      <c r="Q202" t="str">
        <v>MADRID</v>
      </c>
      <c r="R202" s="10">
        <v>300</v>
      </c>
      <c r="S202">
        <v>43639</v>
      </c>
      <c r="T202" t="str">
        <v>SI</v>
      </c>
      <c r="V202">
        <v>490</v>
      </c>
      <c r="W202" t="str">
        <v>PROYECTO</v>
      </c>
      <c r="X202" t="str">
        <v>CLIENTE-0010</v>
      </c>
      <c r="Y202" t="str">
        <v>MADRID</v>
      </c>
      <c r="Z202">
        <v>750</v>
      </c>
      <c r="AA202">
        <v>43491</v>
      </c>
      <c r="AB202" t="str">
        <v>SI</v>
      </c>
      <c r="AN202">
        <v>200</v>
      </c>
      <c r="AO202" t="str">
        <v>PROYECTO</v>
      </c>
      <c r="AP202" t="str">
        <v>CLIENTE-0010</v>
      </c>
      <c r="AQ202">
        <v>500</v>
      </c>
      <c r="AR202" t="str">
        <v>SI</v>
      </c>
    </row>
    <row r="203" spans="1:44">
      <c r="A203" s="2">
        <v>202</v>
      </c>
      <c r="B203" t="s">
        <v>18</v>
      </c>
      <c r="C203" t="s">
        <v>14</v>
      </c>
      <c r="D203" t="s">
        <v>15</v>
      </c>
      <c r="E203" s="3">
        <v>950</v>
      </c>
      <c r="F203" s="4">
        <v>44201</v>
      </c>
      <c r="G203" s="2" t="s">
        <v>12</v>
      </c>
      <c r="N203">
        <v>153</v>
      </c>
      <c r="O203" t="str">
        <v>CONSULTORIA</v>
      </c>
      <c r="P203" t="str">
        <v>CLIENTE-0003</v>
      </c>
      <c r="Q203" t="str">
        <v>MADRID</v>
      </c>
      <c r="R203" s="10">
        <v>300</v>
      </c>
      <c r="S203">
        <v>43708</v>
      </c>
      <c r="T203" t="str">
        <v>NO</v>
      </c>
      <c r="V203">
        <v>491</v>
      </c>
      <c r="W203" t="str">
        <v>EQUIPOS</v>
      </c>
      <c r="X203" t="str">
        <v>CLIENTE-0001</v>
      </c>
      <c r="Y203" t="str">
        <v>MADRID</v>
      </c>
      <c r="Z203">
        <v>4500</v>
      </c>
      <c r="AA203">
        <v>43756</v>
      </c>
      <c r="AB203" t="str">
        <v>SI</v>
      </c>
      <c r="AN203">
        <v>201</v>
      </c>
      <c r="AO203" t="str">
        <v>EQUIPOS</v>
      </c>
      <c r="AP203" t="str">
        <v>CLIENTE-0004</v>
      </c>
      <c r="AQ203">
        <v>750</v>
      </c>
      <c r="AR203" t="str">
        <v>SI</v>
      </c>
    </row>
    <row r="204" spans="1:44">
      <c r="A204" s="2">
        <v>203</v>
      </c>
      <c r="B204" t="s">
        <v>13</v>
      </c>
      <c r="C204" t="s">
        <v>14</v>
      </c>
      <c r="D204" t="s">
        <v>15</v>
      </c>
      <c r="E204" s="3">
        <v>680</v>
      </c>
      <c r="F204" s="4">
        <v>43951</v>
      </c>
      <c r="G204" s="2" t="s">
        <v>12</v>
      </c>
      <c r="N204">
        <v>157</v>
      </c>
      <c r="O204" t="str">
        <v>CONSULTORIA</v>
      </c>
      <c r="P204" t="str">
        <v>CLIENTE-0007</v>
      </c>
      <c r="Q204" t="str">
        <v>BARCELONA</v>
      </c>
      <c r="R204" s="10">
        <v>300</v>
      </c>
      <c r="S204">
        <v>43987</v>
      </c>
      <c r="T204" t="str">
        <v>NO</v>
      </c>
      <c r="V204">
        <v>493</v>
      </c>
      <c r="W204" t="str">
        <v>FORMACION</v>
      </c>
      <c r="X204" t="str">
        <v>CLIENTE-0003</v>
      </c>
      <c r="Y204" t="str">
        <v>MADRID</v>
      </c>
      <c r="Z204">
        <v>750</v>
      </c>
      <c r="AA204">
        <v>43669</v>
      </c>
      <c r="AB204" t="str">
        <v>SI</v>
      </c>
      <c r="AN204">
        <v>202</v>
      </c>
      <c r="AO204" t="str">
        <v>PROGRAMA</v>
      </c>
      <c r="AP204" t="str">
        <v>CLIENTE-0005</v>
      </c>
      <c r="AQ204">
        <v>950</v>
      </c>
      <c r="AR204" t="str">
        <v>SI</v>
      </c>
    </row>
    <row r="205" spans="1:44">
      <c r="A205" s="2">
        <v>204</v>
      </c>
      <c r="B205" t="s">
        <v>16</v>
      </c>
      <c r="C205" t="s">
        <v>17</v>
      </c>
      <c r="D205" t="s">
        <v>15</v>
      </c>
      <c r="E205" s="3">
        <v>950</v>
      </c>
      <c r="F205" s="4">
        <v>43741</v>
      </c>
      <c r="G205" s="2" t="s">
        <v>12</v>
      </c>
      <c r="N205">
        <v>159</v>
      </c>
      <c r="O205" t="str">
        <v>PROYECTO</v>
      </c>
      <c r="P205" t="str">
        <v>CLIENTE-0009</v>
      </c>
      <c r="Q205" t="str">
        <v>ALICANTE</v>
      </c>
      <c r="R205" s="10">
        <v>300</v>
      </c>
      <c r="S205">
        <v>43678</v>
      </c>
      <c r="T205" t="str">
        <v>SI</v>
      </c>
      <c r="V205">
        <v>494</v>
      </c>
      <c r="W205" t="str">
        <v>CONSULTORIA</v>
      </c>
      <c r="X205" t="str">
        <v>CLIENTE-0004</v>
      </c>
      <c r="Y205" t="str">
        <v>MADRID</v>
      </c>
      <c r="Z205">
        <v>950</v>
      </c>
      <c r="AA205">
        <v>44158</v>
      </c>
      <c r="AB205" t="str">
        <v>SI</v>
      </c>
      <c r="AN205">
        <v>203</v>
      </c>
      <c r="AO205" t="str">
        <v>PROYECTO</v>
      </c>
      <c r="AP205" t="str">
        <v>CLIENTE-0005</v>
      </c>
      <c r="AQ205">
        <v>680</v>
      </c>
      <c r="AR205" t="str">
        <v>SI</v>
      </c>
    </row>
    <row r="206" spans="1:44">
      <c r="A206" s="2">
        <v>205</v>
      </c>
      <c r="B206" t="s">
        <v>18</v>
      </c>
      <c r="C206" t="s">
        <v>19</v>
      </c>
      <c r="D206" t="s">
        <v>15</v>
      </c>
      <c r="E206" s="3">
        <v>1500</v>
      </c>
      <c r="F206" s="4">
        <v>43525</v>
      </c>
      <c r="G206" s="2" t="s">
        <v>12</v>
      </c>
      <c r="N206">
        <v>176</v>
      </c>
      <c r="O206" t="str">
        <v>DESARROLLO</v>
      </c>
      <c r="P206" t="str">
        <v>CLIENTE-0006</v>
      </c>
      <c r="Q206" t="str">
        <v>BARCELONA</v>
      </c>
      <c r="R206" s="10">
        <v>300</v>
      </c>
      <c r="S206">
        <v>43496</v>
      </c>
      <c r="T206" t="str">
        <v>SI</v>
      </c>
      <c r="V206">
        <v>500</v>
      </c>
      <c r="W206" t="str">
        <v>CONSULTORIA</v>
      </c>
      <c r="X206" t="str">
        <v>CLIENTE-0010</v>
      </c>
      <c r="Y206" t="str">
        <v>MADRID</v>
      </c>
      <c r="Z206">
        <v>1200</v>
      </c>
      <c r="AA206">
        <v>44361</v>
      </c>
      <c r="AB206" t="str">
        <v>SI</v>
      </c>
      <c r="AN206">
        <v>204</v>
      </c>
      <c r="AO206" t="str">
        <v>EQUIPOS</v>
      </c>
      <c r="AP206" t="str">
        <v>CLIENTE-0006</v>
      </c>
      <c r="AQ206">
        <v>950</v>
      </c>
      <c r="AR206" t="str">
        <v>SI</v>
      </c>
    </row>
    <row r="207" spans="1:44">
      <c r="A207" s="2">
        <v>206</v>
      </c>
      <c r="B207" t="s">
        <v>20</v>
      </c>
      <c r="C207" t="s">
        <v>23</v>
      </c>
      <c r="D207" t="s">
        <v>24</v>
      </c>
      <c r="E207" s="3">
        <v>5000</v>
      </c>
      <c r="F207" s="4">
        <v>43782</v>
      </c>
      <c r="G207" s="2" t="s">
        <v>12</v>
      </c>
      <c r="N207">
        <v>180</v>
      </c>
      <c r="O207" t="str">
        <v>PROGRAMA</v>
      </c>
      <c r="P207" t="str">
        <v>CLIENTE-0010</v>
      </c>
      <c r="Q207" t="str">
        <v>MADRID</v>
      </c>
      <c r="R207" s="10">
        <v>300</v>
      </c>
      <c r="S207">
        <v>43601</v>
      </c>
      <c r="T207" t="str">
        <v>NO</v>
      </c>
      <c r="V207">
        <v>501</v>
      </c>
      <c r="W207" t="str">
        <v>DESARROLLO</v>
      </c>
      <c r="X207" t="str">
        <v>CLIENTE-0004</v>
      </c>
      <c r="Y207" t="str">
        <v>MADRID</v>
      </c>
      <c r="Z207">
        <v>800</v>
      </c>
      <c r="AA207">
        <v>43717</v>
      </c>
      <c r="AB207" t="str">
        <v>SI</v>
      </c>
      <c r="AN207">
        <v>205</v>
      </c>
      <c r="AO207" t="str">
        <v>PROGRAMA</v>
      </c>
      <c r="AP207" t="str">
        <v>CLIENTE-0007</v>
      </c>
      <c r="AQ207">
        <v>1500</v>
      </c>
      <c r="AR207" t="str">
        <v>SI</v>
      </c>
    </row>
    <row r="208" spans="1:44">
      <c r="A208" s="2">
        <v>207</v>
      </c>
      <c r="B208" t="s">
        <v>22</v>
      </c>
      <c r="C208" t="s">
        <v>25</v>
      </c>
      <c r="D208" t="s">
        <v>24</v>
      </c>
      <c r="E208" s="3">
        <v>6500</v>
      </c>
      <c r="F208" s="4">
        <v>43705</v>
      </c>
      <c r="G208" s="2" t="s">
        <v>12</v>
      </c>
      <c r="N208">
        <v>182</v>
      </c>
      <c r="O208" t="str">
        <v>CONSULTORIA</v>
      </c>
      <c r="P208" t="str">
        <v>CLIENTE-0005</v>
      </c>
      <c r="Q208" t="str">
        <v>BARCELONA</v>
      </c>
      <c r="R208" s="10">
        <v>300</v>
      </c>
      <c r="S208">
        <v>44198</v>
      </c>
      <c r="T208" t="str">
        <v>NO</v>
      </c>
      <c r="V208">
        <v>508</v>
      </c>
      <c r="W208" t="str">
        <v>DESARROLLO</v>
      </c>
      <c r="X208" t="str">
        <v>CLIENTE-0010</v>
      </c>
      <c r="Y208" t="str">
        <v>MADRID</v>
      </c>
      <c r="Z208">
        <v>950</v>
      </c>
      <c r="AA208">
        <v>43716</v>
      </c>
      <c r="AB208" t="str">
        <v>NO</v>
      </c>
      <c r="AN208">
        <v>206</v>
      </c>
      <c r="AO208" t="str">
        <v>FORMACION</v>
      </c>
      <c r="AP208" t="str">
        <v>CLIENTE-0008</v>
      </c>
      <c r="AQ208">
        <v>5000</v>
      </c>
      <c r="AR208" t="str">
        <v>SI</v>
      </c>
    </row>
    <row r="209" spans="1:44">
      <c r="A209" s="2">
        <v>208</v>
      </c>
      <c r="B209" t="s">
        <v>10</v>
      </c>
      <c r="C209" t="s">
        <v>26</v>
      </c>
      <c r="D209" t="s">
        <v>9</v>
      </c>
      <c r="E209" s="3">
        <v>1200</v>
      </c>
      <c r="F209" s="4">
        <v>43960</v>
      </c>
      <c r="G209" s="2" t="s">
        <v>12</v>
      </c>
      <c r="N209">
        <v>187</v>
      </c>
      <c r="O209" t="str">
        <v>FORMACION</v>
      </c>
      <c r="P209" t="str">
        <v>CLIENTE-0009</v>
      </c>
      <c r="Q209" t="str">
        <v>ALICANTE</v>
      </c>
      <c r="R209" s="10">
        <v>300</v>
      </c>
      <c r="S209">
        <v>44377</v>
      </c>
      <c r="T209" t="str">
        <v>SI</v>
      </c>
      <c r="V209">
        <v>509</v>
      </c>
      <c r="W209" t="str">
        <v>PROYECTO</v>
      </c>
      <c r="X209" t="str">
        <v>CLIENTE-0001</v>
      </c>
      <c r="Y209" t="str">
        <v>MADRID</v>
      </c>
      <c r="Z209">
        <v>1500</v>
      </c>
      <c r="AA209">
        <v>43626</v>
      </c>
      <c r="AB209" t="str">
        <v>NO</v>
      </c>
      <c r="AN209">
        <v>207</v>
      </c>
      <c r="AO209" t="str">
        <v>CONSULTORIA</v>
      </c>
      <c r="AP209" t="str">
        <v>CLIENTE-0009</v>
      </c>
      <c r="AQ209">
        <v>6500</v>
      </c>
      <c r="AR209" t="str">
        <v>SI</v>
      </c>
    </row>
    <row r="210" spans="1:44">
      <c r="A210" s="2">
        <v>209</v>
      </c>
      <c r="B210" t="s">
        <v>13</v>
      </c>
      <c r="C210" t="s">
        <v>27</v>
      </c>
      <c r="D210" t="s">
        <v>9</v>
      </c>
      <c r="E210" s="3">
        <v>800</v>
      </c>
      <c r="F210" s="4">
        <v>43962</v>
      </c>
      <c r="G210" s="2" t="s">
        <v>28</v>
      </c>
      <c r="N210">
        <v>191</v>
      </c>
      <c r="O210" t="str">
        <v>EQUIPOS</v>
      </c>
      <c r="P210" t="str">
        <v>CLIENTE-0001</v>
      </c>
      <c r="Q210" t="str">
        <v>MADRID</v>
      </c>
      <c r="R210" s="10">
        <v>300</v>
      </c>
      <c r="S210">
        <v>44532</v>
      </c>
      <c r="T210" t="str">
        <v>SI</v>
      </c>
      <c r="V210">
        <v>510</v>
      </c>
      <c r="W210" t="str">
        <v>EQUIPOS</v>
      </c>
      <c r="X210" t="str">
        <v>CLIENTE-0010</v>
      </c>
      <c r="Y210" t="str">
        <v>MADRID</v>
      </c>
      <c r="Z210">
        <v>5000</v>
      </c>
      <c r="AA210">
        <v>43606</v>
      </c>
      <c r="AB210" t="str">
        <v>NO</v>
      </c>
      <c r="AN210">
        <v>208</v>
      </c>
      <c r="AO210" t="str">
        <v>DESARROLLO</v>
      </c>
      <c r="AP210" t="str">
        <v>CLIENTE-0010</v>
      </c>
      <c r="AQ210">
        <v>1200</v>
      </c>
      <c r="AR210" t="str">
        <v>SI</v>
      </c>
    </row>
    <row r="211" spans="1:44">
      <c r="A211" s="2">
        <v>210</v>
      </c>
      <c r="B211" t="s">
        <v>16</v>
      </c>
      <c r="C211" t="s">
        <v>26</v>
      </c>
      <c r="D211" t="s">
        <v>9</v>
      </c>
      <c r="E211" s="3">
        <v>750</v>
      </c>
      <c r="F211" s="4">
        <v>44069</v>
      </c>
      <c r="G211" s="2" t="s">
        <v>28</v>
      </c>
      <c r="N211">
        <v>193</v>
      </c>
      <c r="O211" t="str">
        <v>DESARROLLO</v>
      </c>
      <c r="P211" t="str">
        <v>CLIENTE-0003</v>
      </c>
      <c r="Q211" t="str">
        <v>MADRID</v>
      </c>
      <c r="R211" s="10">
        <v>300</v>
      </c>
      <c r="S211">
        <v>43700</v>
      </c>
      <c r="T211" t="str">
        <v>SI</v>
      </c>
      <c r="V211">
        <v>511</v>
      </c>
      <c r="W211" t="str">
        <v>PROGRAMA</v>
      </c>
      <c r="X211" t="str">
        <v>CLIENTE-0001</v>
      </c>
      <c r="Y211" t="str">
        <v>MADRID</v>
      </c>
      <c r="Z211">
        <v>6500</v>
      </c>
      <c r="AA211">
        <v>44185</v>
      </c>
      <c r="AB211" t="str">
        <v>NO</v>
      </c>
      <c r="AN211">
        <v>209</v>
      </c>
      <c r="AO211" t="str">
        <v>PROYECTO</v>
      </c>
      <c r="AP211" t="str">
        <v>CLIENTE-0001</v>
      </c>
      <c r="AQ211">
        <v>800</v>
      </c>
      <c r="AR211" t="str">
        <v>NO</v>
      </c>
    </row>
    <row r="212" spans="1:44">
      <c r="A212" s="2">
        <v>211</v>
      </c>
      <c r="B212" t="s">
        <v>22</v>
      </c>
      <c r="C212" t="s">
        <v>27</v>
      </c>
      <c r="D212" t="s">
        <v>9</v>
      </c>
      <c r="E212" s="3">
        <v>4500</v>
      </c>
      <c r="F212" s="4">
        <v>43560</v>
      </c>
      <c r="G212" s="2" t="s">
        <v>28</v>
      </c>
      <c r="N212">
        <v>222</v>
      </c>
      <c r="O212" t="str">
        <v>FORMACION</v>
      </c>
      <c r="P212" t="str">
        <v>CLIENTE-0005</v>
      </c>
      <c r="Q212" t="str">
        <v>BARCELONA</v>
      </c>
      <c r="R212" s="10">
        <v>300</v>
      </c>
      <c r="S212">
        <v>44395</v>
      </c>
      <c r="T212" t="str">
        <v>SI</v>
      </c>
      <c r="V212">
        <v>513</v>
      </c>
      <c r="W212" t="str">
        <v>CONSULTORIA</v>
      </c>
      <c r="X212" t="str">
        <v>CLIENTE-0003</v>
      </c>
      <c r="Y212" t="str">
        <v>MADRID</v>
      </c>
      <c r="Z212">
        <v>1200</v>
      </c>
      <c r="AA212">
        <v>43503</v>
      </c>
      <c r="AB212" t="str">
        <v>SI</v>
      </c>
      <c r="AN212">
        <v>210</v>
      </c>
      <c r="AO212" t="str">
        <v>EQUIPOS</v>
      </c>
      <c r="AP212" t="str">
        <v>CLIENTE-0010</v>
      </c>
      <c r="AQ212">
        <v>750</v>
      </c>
      <c r="AR212" t="str">
        <v>NO</v>
      </c>
    </row>
    <row r="213" spans="1:44">
      <c r="A213" s="2">
        <v>212</v>
      </c>
      <c r="B213" t="s">
        <v>10</v>
      </c>
      <c r="C213" t="s">
        <v>29</v>
      </c>
      <c r="D213" t="s">
        <v>24</v>
      </c>
      <c r="E213" s="3">
        <v>500</v>
      </c>
      <c r="F213" s="4">
        <v>43600</v>
      </c>
      <c r="G213" s="2" t="s">
        <v>28</v>
      </c>
      <c r="N213">
        <v>226</v>
      </c>
      <c r="O213" t="str">
        <v>EQUIPOS</v>
      </c>
      <c r="P213" t="str">
        <v>CLIENTE-0004</v>
      </c>
      <c r="Q213" t="str">
        <v>MADRID</v>
      </c>
      <c r="R213" s="10">
        <v>300</v>
      </c>
      <c r="S213">
        <v>43777</v>
      </c>
      <c r="T213" t="str">
        <v>NO</v>
      </c>
      <c r="V213">
        <v>514</v>
      </c>
      <c r="W213" t="str">
        <v>DESARROLLO</v>
      </c>
      <c r="X213" t="str">
        <v>CLIENTE-0004</v>
      </c>
      <c r="Y213" t="str">
        <v>MADRID</v>
      </c>
      <c r="Z213">
        <v>300</v>
      </c>
      <c r="AA213">
        <v>44382</v>
      </c>
      <c r="AB213" t="str">
        <v>SI</v>
      </c>
      <c r="AN213">
        <v>211</v>
      </c>
      <c r="AO213" t="str">
        <v>CONSULTORIA</v>
      </c>
      <c r="AP213" t="str">
        <v>CLIENTE-0001</v>
      </c>
      <c r="AQ213">
        <v>4500</v>
      </c>
      <c r="AR213" t="str">
        <v>NO</v>
      </c>
    </row>
    <row r="214" spans="1:44">
      <c r="A214" s="2">
        <v>213</v>
      </c>
      <c r="B214" t="s">
        <v>13</v>
      </c>
      <c r="C214" t="s">
        <v>21</v>
      </c>
      <c r="D214" t="s">
        <v>9</v>
      </c>
      <c r="E214" s="3">
        <v>750</v>
      </c>
      <c r="F214" s="4">
        <v>44170</v>
      </c>
      <c r="G214" s="2" t="s">
        <v>28</v>
      </c>
      <c r="N214">
        <v>228</v>
      </c>
      <c r="O214" t="str">
        <v>FORMACION</v>
      </c>
      <c r="P214" t="str">
        <v>CLIENTE-0005</v>
      </c>
      <c r="Q214" t="str">
        <v>BARCELONA</v>
      </c>
      <c r="R214" s="10">
        <v>300</v>
      </c>
      <c r="S214">
        <v>43549</v>
      </c>
      <c r="T214" t="str">
        <v>NO</v>
      </c>
      <c r="V214">
        <v>520</v>
      </c>
      <c r="W214" t="str">
        <v>PROGRAMA</v>
      </c>
      <c r="X214" t="str">
        <v>CLIENTE-0010</v>
      </c>
      <c r="Y214" t="str">
        <v>MADRID</v>
      </c>
      <c r="Z214">
        <v>300</v>
      </c>
      <c r="AA214">
        <v>43570</v>
      </c>
      <c r="AB214" t="str">
        <v>SI</v>
      </c>
      <c r="AN214">
        <v>212</v>
      </c>
      <c r="AO214" t="str">
        <v>DESARROLLO</v>
      </c>
      <c r="AP214" t="str">
        <v>CLIENTE-0002</v>
      </c>
      <c r="AQ214">
        <v>500</v>
      </c>
      <c r="AR214" t="str">
        <v>NO</v>
      </c>
    </row>
    <row r="215" spans="1:44">
      <c r="A215" s="2">
        <v>214</v>
      </c>
      <c r="B215" t="s">
        <v>16</v>
      </c>
      <c r="C215" t="s">
        <v>11</v>
      </c>
      <c r="D215" t="s">
        <v>9</v>
      </c>
      <c r="E215" s="3">
        <v>950</v>
      </c>
      <c r="F215" s="4">
        <v>44121</v>
      </c>
      <c r="G215" s="2" t="s">
        <v>28</v>
      </c>
      <c r="N215">
        <v>245</v>
      </c>
      <c r="O215" t="str">
        <v>CONSULTORIA</v>
      </c>
      <c r="P215" t="str">
        <v>CLIENTE-0010</v>
      </c>
      <c r="Q215" t="str">
        <v>MADRID</v>
      </c>
      <c r="R215" s="10">
        <v>300</v>
      </c>
      <c r="S215">
        <v>44514</v>
      </c>
      <c r="T215" t="str">
        <v>SI</v>
      </c>
      <c r="V215">
        <v>521</v>
      </c>
      <c r="W215" t="str">
        <v>FORMACION</v>
      </c>
      <c r="X215" t="str">
        <v>CLIENTE-0004</v>
      </c>
      <c r="Y215" t="str">
        <v>MADRID</v>
      </c>
      <c r="Z215">
        <v>120</v>
      </c>
      <c r="AA215">
        <v>43826</v>
      </c>
      <c r="AB215" t="str">
        <v>SI</v>
      </c>
      <c r="AN215">
        <v>213</v>
      </c>
      <c r="AO215" t="str">
        <v>PROYECTO</v>
      </c>
      <c r="AP215" t="str">
        <v>CLIENTE-0003</v>
      </c>
      <c r="AQ215">
        <v>750</v>
      </c>
      <c r="AR215" t="str">
        <v>NO</v>
      </c>
    </row>
    <row r="216" spans="1:44">
      <c r="A216" s="2">
        <v>215</v>
      </c>
      <c r="B216" t="s">
        <v>18</v>
      </c>
      <c r="C216" t="s">
        <v>14</v>
      </c>
      <c r="D216" t="s">
        <v>15</v>
      </c>
      <c r="E216" s="3">
        <v>680</v>
      </c>
      <c r="F216" s="4">
        <v>44197</v>
      </c>
      <c r="G216" s="2" t="s">
        <v>28</v>
      </c>
      <c r="N216">
        <v>249</v>
      </c>
      <c r="O216" t="str">
        <v>PROGRAMA</v>
      </c>
      <c r="P216" t="str">
        <v>CLIENTE-0006</v>
      </c>
      <c r="Q216" t="str">
        <v>BARCELONA</v>
      </c>
      <c r="R216" s="10">
        <v>300</v>
      </c>
      <c r="S216">
        <v>43669</v>
      </c>
      <c r="T216" t="str">
        <v>SI</v>
      </c>
      <c r="V216">
        <v>525</v>
      </c>
      <c r="W216" t="str">
        <v>EQUIPOS</v>
      </c>
      <c r="X216" t="str">
        <v>CLIENTE-0003</v>
      </c>
      <c r="Y216" t="str">
        <v>MADRID</v>
      </c>
      <c r="Z216">
        <v>750</v>
      </c>
      <c r="AA216">
        <v>44058</v>
      </c>
      <c r="AB216" t="str">
        <v>SI</v>
      </c>
      <c r="AN216">
        <v>214</v>
      </c>
      <c r="AO216" t="str">
        <v>EQUIPOS</v>
      </c>
      <c r="AP216" t="str">
        <v>CLIENTE-0004</v>
      </c>
      <c r="AQ216">
        <v>950</v>
      </c>
      <c r="AR216" t="str">
        <v>NO</v>
      </c>
    </row>
    <row r="217" spans="1:44">
      <c r="A217" s="2">
        <v>216</v>
      </c>
      <c r="B217" t="s">
        <v>20</v>
      </c>
      <c r="C217" t="s">
        <v>17</v>
      </c>
      <c r="D217" t="s">
        <v>15</v>
      </c>
      <c r="E217" s="3">
        <v>950</v>
      </c>
      <c r="F217" s="4">
        <v>44006</v>
      </c>
      <c r="G217" s="2" t="s">
        <v>12</v>
      </c>
      <c r="N217">
        <v>251</v>
      </c>
      <c r="O217" t="str">
        <v>CONSULTORIA</v>
      </c>
      <c r="P217" t="str">
        <v>CLIENTE-0008</v>
      </c>
      <c r="Q217" t="str">
        <v>ALICANTE</v>
      </c>
      <c r="R217" s="10">
        <v>300</v>
      </c>
      <c r="S217">
        <v>43630</v>
      </c>
      <c r="T217" t="str">
        <v>NO</v>
      </c>
      <c r="V217">
        <v>526</v>
      </c>
      <c r="W217" t="str">
        <v>CONSULTORIA</v>
      </c>
      <c r="X217" t="str">
        <v>CLIENTE-0004</v>
      </c>
      <c r="Y217" t="str">
        <v>MADRID</v>
      </c>
      <c r="Z217">
        <v>4500</v>
      </c>
      <c r="AA217">
        <v>43527</v>
      </c>
      <c r="AB217" t="str">
        <v>SI</v>
      </c>
      <c r="AN217">
        <v>215</v>
      </c>
      <c r="AO217" t="str">
        <v>PROGRAMA</v>
      </c>
      <c r="AP217" t="str">
        <v>CLIENTE-0005</v>
      </c>
      <c r="AQ217">
        <v>680</v>
      </c>
      <c r="AR217" t="str">
        <v>NO</v>
      </c>
    </row>
    <row r="218" spans="1:44">
      <c r="A218" s="2">
        <v>217</v>
      </c>
      <c r="B218" t="s">
        <v>22</v>
      </c>
      <c r="C218" t="s">
        <v>19</v>
      </c>
      <c r="D218" t="s">
        <v>15</v>
      </c>
      <c r="E218" s="3">
        <v>1500</v>
      </c>
      <c r="F218" s="4">
        <v>44212</v>
      </c>
      <c r="G218" s="2" t="s">
        <v>12</v>
      </c>
      <c r="N218">
        <v>256</v>
      </c>
      <c r="O218" t="str">
        <v>FORMACION</v>
      </c>
      <c r="P218" t="str">
        <v>CLIENTE-0001</v>
      </c>
      <c r="Q218" t="str">
        <v>MADRID</v>
      </c>
      <c r="R218" s="10">
        <v>300</v>
      </c>
      <c r="S218">
        <v>43853</v>
      </c>
      <c r="T218" t="str">
        <v>NO</v>
      </c>
      <c r="V218">
        <v>533</v>
      </c>
      <c r="W218" t="str">
        <v>DESARROLLO</v>
      </c>
      <c r="X218" t="str">
        <v>CLIENTE-0010</v>
      </c>
      <c r="Y218" t="str">
        <v>MADRID</v>
      </c>
      <c r="Z218">
        <v>5000</v>
      </c>
      <c r="AA218">
        <v>43952</v>
      </c>
      <c r="AB218" t="str">
        <v>NO</v>
      </c>
      <c r="AN218">
        <v>216</v>
      </c>
      <c r="AO218" t="str">
        <v>FORMACION</v>
      </c>
      <c r="AP218" t="str">
        <v>CLIENTE-0006</v>
      </c>
      <c r="AQ218">
        <v>950</v>
      </c>
      <c r="AR218" t="str">
        <v>SI</v>
      </c>
    </row>
    <row r="219" spans="1:44">
      <c r="A219" s="2">
        <v>218</v>
      </c>
      <c r="B219" t="s">
        <v>10</v>
      </c>
      <c r="C219" t="s">
        <v>23</v>
      </c>
      <c r="D219" t="s">
        <v>24</v>
      </c>
      <c r="E219" s="3">
        <v>5000</v>
      </c>
      <c r="F219" s="4">
        <v>43813</v>
      </c>
      <c r="G219" s="2" t="s">
        <v>12</v>
      </c>
      <c r="N219">
        <v>260</v>
      </c>
      <c r="O219" t="str">
        <v>EQUIPOS</v>
      </c>
      <c r="P219" t="str">
        <v>CLIENTE-0005</v>
      </c>
      <c r="Q219" t="str">
        <v>BARCELONA</v>
      </c>
      <c r="R219" s="10">
        <v>300</v>
      </c>
      <c r="S219">
        <v>44281</v>
      </c>
      <c r="T219" t="str">
        <v>SI</v>
      </c>
      <c r="V219">
        <v>534</v>
      </c>
      <c r="W219" t="str">
        <v>PROYECTO</v>
      </c>
      <c r="X219" t="str">
        <v>CLIENTE-0001</v>
      </c>
      <c r="Y219" t="str">
        <v>MADRID</v>
      </c>
      <c r="Z219">
        <v>6500</v>
      </c>
      <c r="AA219">
        <v>43632</v>
      </c>
      <c r="AB219" t="str">
        <v>NO</v>
      </c>
      <c r="AN219">
        <v>217</v>
      </c>
      <c r="AO219" t="str">
        <v>CONSULTORIA</v>
      </c>
      <c r="AP219" t="str">
        <v>CLIENTE-0007</v>
      </c>
      <c r="AQ219">
        <v>1500</v>
      </c>
      <c r="AR219" t="str">
        <v>SI</v>
      </c>
    </row>
    <row r="220" spans="1:44">
      <c r="A220" s="2">
        <v>219</v>
      </c>
      <c r="B220" t="s">
        <v>13</v>
      </c>
      <c r="C220" t="s">
        <v>25</v>
      </c>
      <c r="D220" t="s">
        <v>24</v>
      </c>
      <c r="E220" s="3">
        <v>6500</v>
      </c>
      <c r="F220" s="4">
        <v>44365</v>
      </c>
      <c r="G220" s="2" t="s">
        <v>12</v>
      </c>
      <c r="N220">
        <v>262</v>
      </c>
      <c r="O220" t="str">
        <v>FORMACION</v>
      </c>
      <c r="P220" t="str">
        <v>CLIENTE-0007</v>
      </c>
      <c r="Q220" t="str">
        <v>BARCELONA</v>
      </c>
      <c r="R220" s="10">
        <v>300</v>
      </c>
      <c r="S220">
        <v>43534</v>
      </c>
      <c r="T220" t="str">
        <v>SI</v>
      </c>
      <c r="V220">
        <v>535</v>
      </c>
      <c r="W220" t="str">
        <v>EQUIPOS</v>
      </c>
      <c r="X220" t="str">
        <v>CLIENTE-0010</v>
      </c>
      <c r="Y220" t="str">
        <v>MADRID</v>
      </c>
      <c r="Z220">
        <v>8500</v>
      </c>
      <c r="AA220">
        <v>43722</v>
      </c>
      <c r="AB220" t="str">
        <v>NO</v>
      </c>
      <c r="AN220">
        <v>218</v>
      </c>
      <c r="AO220" t="str">
        <v>DESARROLLO</v>
      </c>
      <c r="AP220" t="str">
        <v>CLIENTE-0008</v>
      </c>
      <c r="AQ220">
        <v>5000</v>
      </c>
      <c r="AR220" t="str">
        <v>SI</v>
      </c>
    </row>
    <row r="221" spans="1:44">
      <c r="A221" s="2">
        <v>220</v>
      </c>
      <c r="B221" t="s">
        <v>16</v>
      </c>
      <c r="C221" t="s">
        <v>26</v>
      </c>
      <c r="D221" t="s">
        <v>9</v>
      </c>
      <c r="E221" s="3">
        <v>8500</v>
      </c>
      <c r="F221" s="4">
        <v>44494</v>
      </c>
      <c r="G221" s="2" t="s">
        <v>12</v>
      </c>
      <c r="N221">
        <v>288</v>
      </c>
      <c r="O221" t="str">
        <v>PROYECTO</v>
      </c>
      <c r="P221" t="str">
        <v>CLIENTE-0001</v>
      </c>
      <c r="Q221" t="str">
        <v>MADRID</v>
      </c>
      <c r="R221" s="10">
        <v>300</v>
      </c>
      <c r="S221">
        <v>44200</v>
      </c>
      <c r="T221" t="str">
        <v>SI</v>
      </c>
      <c r="V221">
        <v>536</v>
      </c>
      <c r="W221" t="str">
        <v>PROGRAMA</v>
      </c>
      <c r="X221" t="str">
        <v>CLIENTE-0001</v>
      </c>
      <c r="Y221" t="str">
        <v>MADRID</v>
      </c>
      <c r="Z221">
        <v>1200</v>
      </c>
      <c r="AA221">
        <v>43856</v>
      </c>
      <c r="AB221" t="str">
        <v>NO</v>
      </c>
      <c r="AN221">
        <v>219</v>
      </c>
      <c r="AO221" t="str">
        <v>PROYECTO</v>
      </c>
      <c r="AP221" t="str">
        <v>CLIENTE-0009</v>
      </c>
      <c r="AQ221">
        <v>6500</v>
      </c>
      <c r="AR221" t="str">
        <v>SI</v>
      </c>
    </row>
    <row r="222" spans="1:44">
      <c r="A222" s="2">
        <v>221</v>
      </c>
      <c r="B222" t="s">
        <v>18</v>
      </c>
      <c r="C222" t="s">
        <v>11</v>
      </c>
      <c r="D222" t="s">
        <v>9</v>
      </c>
      <c r="E222" s="3">
        <v>1200</v>
      </c>
      <c r="F222" s="4">
        <v>44418</v>
      </c>
      <c r="G222" s="2" t="s">
        <v>12</v>
      </c>
      <c r="N222">
        <v>292</v>
      </c>
      <c r="O222" t="str">
        <v>EQUIPOS</v>
      </c>
      <c r="P222" t="str">
        <v>CLIENTE-0003</v>
      </c>
      <c r="Q222" t="str">
        <v>MADRID</v>
      </c>
      <c r="R222" s="10">
        <v>300</v>
      </c>
      <c r="S222">
        <v>43716</v>
      </c>
      <c r="T222" t="str">
        <v>SI</v>
      </c>
      <c r="V222">
        <v>538</v>
      </c>
      <c r="W222" t="str">
        <v>CONSULTORIA</v>
      </c>
      <c r="X222" t="str">
        <v>CLIENTE-0003</v>
      </c>
      <c r="Y222" t="str">
        <v>MADRID</v>
      </c>
      <c r="Z222">
        <v>200</v>
      </c>
      <c r="AA222">
        <v>43691</v>
      </c>
      <c r="AB222" t="str">
        <v>NO</v>
      </c>
      <c r="AN222">
        <v>220</v>
      </c>
      <c r="AO222" t="str">
        <v>EQUIPOS</v>
      </c>
      <c r="AP222" t="str">
        <v>CLIENTE-0010</v>
      </c>
      <c r="AQ222">
        <v>8500</v>
      </c>
      <c r="AR222" t="str">
        <v>SI</v>
      </c>
    </row>
    <row r="223" spans="1:44">
      <c r="A223" s="2">
        <v>222</v>
      </c>
      <c r="B223" t="s">
        <v>20</v>
      </c>
      <c r="C223" t="s">
        <v>14</v>
      </c>
      <c r="D223" t="s">
        <v>15</v>
      </c>
      <c r="E223" s="3">
        <v>300</v>
      </c>
      <c r="F223" s="4">
        <v>44395</v>
      </c>
      <c r="G223" s="2" t="s">
        <v>12</v>
      </c>
      <c r="N223">
        <v>294</v>
      </c>
      <c r="O223" t="str">
        <v>FORMACION</v>
      </c>
      <c r="P223" t="str">
        <v>CLIENTE-0005</v>
      </c>
      <c r="Q223" t="str">
        <v>BARCELONA</v>
      </c>
      <c r="R223" s="10">
        <v>300</v>
      </c>
      <c r="S223">
        <v>44133</v>
      </c>
      <c r="T223" t="str">
        <v>SI</v>
      </c>
      <c r="V223">
        <v>539</v>
      </c>
      <c r="W223" t="str">
        <v>DESARROLLO</v>
      </c>
      <c r="X223" t="str">
        <v>CLIENTE-0004</v>
      </c>
      <c r="Y223" t="str">
        <v>MADRID</v>
      </c>
      <c r="Z223">
        <v>150</v>
      </c>
      <c r="AA223">
        <v>44149</v>
      </c>
      <c r="AB223" t="str">
        <v>NO</v>
      </c>
      <c r="AN223">
        <v>221</v>
      </c>
      <c r="AO223" t="str">
        <v>PROGRAMA</v>
      </c>
      <c r="AP223" t="str">
        <v>CLIENTE-0004</v>
      </c>
      <c r="AQ223">
        <v>1200</v>
      </c>
      <c r="AR223" t="str">
        <v>SI</v>
      </c>
    </row>
    <row r="224" spans="1:44">
      <c r="A224" s="2">
        <v>223</v>
      </c>
      <c r="B224" t="s">
        <v>22</v>
      </c>
      <c r="C224" t="s">
        <v>17</v>
      </c>
      <c r="D224" t="s">
        <v>15</v>
      </c>
      <c r="E224" s="3">
        <v>200</v>
      </c>
      <c r="F224" s="4">
        <v>44495</v>
      </c>
      <c r="G224" s="2" t="s">
        <v>28</v>
      </c>
      <c r="N224">
        <v>299</v>
      </c>
      <c r="O224" t="str">
        <v>CONSULTORIA</v>
      </c>
      <c r="P224" t="str">
        <v>CLIENTE-0010</v>
      </c>
      <c r="Q224" t="str">
        <v>MADRID</v>
      </c>
      <c r="R224" s="10">
        <v>300</v>
      </c>
      <c r="S224">
        <v>44343</v>
      </c>
      <c r="T224" t="str">
        <v>SI</v>
      </c>
      <c r="V224">
        <v>545</v>
      </c>
      <c r="W224" t="str">
        <v>DESARROLLO</v>
      </c>
      <c r="X224" t="str">
        <v>CLIENTE-0010</v>
      </c>
      <c r="Y224" t="str">
        <v>MADRID</v>
      </c>
      <c r="Z224">
        <v>150</v>
      </c>
      <c r="AA224">
        <v>44155</v>
      </c>
      <c r="AB224" t="str">
        <v>SI</v>
      </c>
      <c r="AN224">
        <v>222</v>
      </c>
      <c r="AO224" t="str">
        <v>FORMACION</v>
      </c>
      <c r="AP224" t="str">
        <v>CLIENTE-0005</v>
      </c>
      <c r="AQ224">
        <v>300</v>
      </c>
      <c r="AR224" t="str">
        <v>SI</v>
      </c>
    </row>
    <row r="225" spans="1:44">
      <c r="A225" s="2">
        <v>224</v>
      </c>
      <c r="B225" t="s">
        <v>10</v>
      </c>
      <c r="C225" t="s">
        <v>19</v>
      </c>
      <c r="D225" t="s">
        <v>15</v>
      </c>
      <c r="E225" s="3">
        <v>150</v>
      </c>
      <c r="F225" s="4">
        <v>43873</v>
      </c>
      <c r="G225" s="2" t="s">
        <v>28</v>
      </c>
      <c r="N225">
        <v>303</v>
      </c>
      <c r="O225" t="str">
        <v>PROGRAMA</v>
      </c>
      <c r="P225" t="str">
        <v>CLIENTE-0006</v>
      </c>
      <c r="Q225" t="str">
        <v>BARCELONA</v>
      </c>
      <c r="R225" s="10">
        <v>300</v>
      </c>
      <c r="S225">
        <v>43507</v>
      </c>
      <c r="T225" t="str">
        <v>SI</v>
      </c>
      <c r="V225">
        <v>546</v>
      </c>
      <c r="W225" t="str">
        <v>PROYECTO</v>
      </c>
      <c r="X225" t="str">
        <v>CLIENTE-0004</v>
      </c>
      <c r="Y225" t="str">
        <v>MADRID</v>
      </c>
      <c r="Z225">
        <v>8500</v>
      </c>
      <c r="AA225">
        <v>44182</v>
      </c>
      <c r="AB225" t="str">
        <v>SI</v>
      </c>
      <c r="AN225">
        <v>223</v>
      </c>
      <c r="AO225" t="str">
        <v>CONSULTORIA</v>
      </c>
      <c r="AP225" t="str">
        <v>CLIENTE-0006</v>
      </c>
      <c r="AQ225">
        <v>200</v>
      </c>
      <c r="AR225" t="str">
        <v>NO</v>
      </c>
    </row>
    <row r="226" spans="1:44">
      <c r="A226" s="2">
        <v>225</v>
      </c>
      <c r="B226" t="s">
        <v>13</v>
      </c>
      <c r="C226" t="s">
        <v>21</v>
      </c>
      <c r="D226" t="s">
        <v>9</v>
      </c>
      <c r="E226" s="3">
        <v>120</v>
      </c>
      <c r="F226" s="4">
        <v>44422</v>
      </c>
      <c r="G226" s="2" t="s">
        <v>28</v>
      </c>
      <c r="N226">
        <v>305</v>
      </c>
      <c r="O226" t="str">
        <v>CONSULTORIA</v>
      </c>
      <c r="P226" t="str">
        <v>CLIENTE-0008</v>
      </c>
      <c r="Q226" t="str">
        <v>ALICANTE</v>
      </c>
      <c r="R226" s="10">
        <v>300</v>
      </c>
      <c r="S226">
        <v>43683</v>
      </c>
      <c r="T226" t="str">
        <v>NO</v>
      </c>
      <c r="V226">
        <v>553</v>
      </c>
      <c r="W226" t="str">
        <v>EQUIPOS</v>
      </c>
      <c r="X226" t="str">
        <v>CLIENTE-0010</v>
      </c>
      <c r="Y226" t="str">
        <v>MADRID</v>
      </c>
      <c r="Z226">
        <v>350</v>
      </c>
      <c r="AA226">
        <v>43812</v>
      </c>
      <c r="AB226" t="str">
        <v>SI</v>
      </c>
      <c r="AN226">
        <v>224</v>
      </c>
      <c r="AO226" t="str">
        <v>DESARROLLO</v>
      </c>
      <c r="AP226" t="str">
        <v>CLIENTE-0007</v>
      </c>
      <c r="AQ226">
        <v>150</v>
      </c>
      <c r="AR226" t="str">
        <v>NO</v>
      </c>
    </row>
    <row r="227" spans="1:44">
      <c r="A227" s="2">
        <v>226</v>
      </c>
      <c r="B227" t="s">
        <v>16</v>
      </c>
      <c r="C227" t="s">
        <v>11</v>
      </c>
      <c r="D227" t="s">
        <v>9</v>
      </c>
      <c r="E227" s="3">
        <v>300</v>
      </c>
      <c r="F227" s="4">
        <v>43777</v>
      </c>
      <c r="G227" s="2" t="s">
        <v>28</v>
      </c>
      <c r="N227">
        <v>334</v>
      </c>
      <c r="O227" t="str">
        <v>DESARROLLO</v>
      </c>
      <c r="P227" t="str">
        <v>CLIENTE-0005</v>
      </c>
      <c r="Q227" t="str">
        <v>BARCELONA</v>
      </c>
      <c r="R227" s="10">
        <v>300</v>
      </c>
      <c r="S227">
        <v>44310</v>
      </c>
      <c r="T227" t="str">
        <v>SI</v>
      </c>
      <c r="V227">
        <v>554</v>
      </c>
      <c r="W227" t="str">
        <v>PROGRAMA</v>
      </c>
      <c r="X227" t="str">
        <v>CLIENTE-0001</v>
      </c>
      <c r="Y227" t="str">
        <v>MADRID</v>
      </c>
      <c r="Z227">
        <v>300</v>
      </c>
      <c r="AA227">
        <v>43959</v>
      </c>
      <c r="AB227" t="str">
        <v>SI</v>
      </c>
      <c r="AN227">
        <v>225</v>
      </c>
      <c r="AO227" t="str">
        <v>PROYECTO</v>
      </c>
      <c r="AP227" t="str">
        <v>CLIENTE-0003</v>
      </c>
      <c r="AQ227">
        <v>120</v>
      </c>
      <c r="AR227" t="str">
        <v>NO</v>
      </c>
    </row>
    <row r="228" spans="1:44">
      <c r="A228" s="2">
        <v>227</v>
      </c>
      <c r="B228" t="s">
        <v>18</v>
      </c>
      <c r="C228" t="s">
        <v>14</v>
      </c>
      <c r="D228" t="s">
        <v>15</v>
      </c>
      <c r="E228" s="3">
        <v>350</v>
      </c>
      <c r="F228" s="4">
        <v>43717</v>
      </c>
      <c r="G228" s="2" t="s">
        <v>28</v>
      </c>
      <c r="N228">
        <v>338</v>
      </c>
      <c r="O228" t="str">
        <v>FORMACION</v>
      </c>
      <c r="P228" t="str">
        <v>CLIENTE-0009</v>
      </c>
      <c r="Q228" t="str">
        <v>ALICANTE</v>
      </c>
      <c r="R228" s="10">
        <v>300</v>
      </c>
      <c r="S228">
        <v>43836</v>
      </c>
      <c r="T228" t="str">
        <v>SI</v>
      </c>
      <c r="V228">
        <v>555</v>
      </c>
      <c r="W228" t="str">
        <v>FORMACION</v>
      </c>
      <c r="X228" t="str">
        <v>CLIENTE-0010</v>
      </c>
      <c r="Y228" t="str">
        <v>MADRID</v>
      </c>
      <c r="Z228">
        <v>120</v>
      </c>
      <c r="AA228">
        <v>44304</v>
      </c>
      <c r="AB228" t="str">
        <v>SI</v>
      </c>
      <c r="AN228">
        <v>226</v>
      </c>
      <c r="AO228" t="str">
        <v>EQUIPOS</v>
      </c>
      <c r="AP228" t="str">
        <v>CLIENTE-0004</v>
      </c>
      <c r="AQ228">
        <v>300</v>
      </c>
      <c r="AR228" t="str">
        <v>NO</v>
      </c>
    </row>
    <row r="229" spans="1:44">
      <c r="A229" s="2">
        <v>228</v>
      </c>
      <c r="B229" t="s">
        <v>20</v>
      </c>
      <c r="C229" t="s">
        <v>14</v>
      </c>
      <c r="D229" t="s">
        <v>15</v>
      </c>
      <c r="E229" s="3">
        <v>300</v>
      </c>
      <c r="F229" s="4">
        <v>43549</v>
      </c>
      <c r="G229" s="2" t="s">
        <v>28</v>
      </c>
      <c r="N229">
        <v>340</v>
      </c>
      <c r="O229" t="str">
        <v>DESARROLLO</v>
      </c>
      <c r="P229" t="str">
        <v>CLIENTE-0004</v>
      </c>
      <c r="Q229" t="str">
        <v>MADRID</v>
      </c>
      <c r="R229" s="10">
        <v>300</v>
      </c>
      <c r="S229">
        <v>44155</v>
      </c>
      <c r="T229" t="str">
        <v>SI</v>
      </c>
      <c r="V229">
        <v>556</v>
      </c>
      <c r="W229" t="str">
        <v>CONSULTORIA</v>
      </c>
      <c r="X229" t="str">
        <v>CLIENTE-0001</v>
      </c>
      <c r="Y229" t="str">
        <v>MADRID</v>
      </c>
      <c r="Z229">
        <v>150</v>
      </c>
      <c r="AA229">
        <v>43720</v>
      </c>
      <c r="AB229" t="str">
        <v>SI</v>
      </c>
      <c r="AN229">
        <v>227</v>
      </c>
      <c r="AO229" t="str">
        <v>PROGRAMA</v>
      </c>
      <c r="AP229" t="str">
        <v>CLIENTE-0005</v>
      </c>
      <c r="AQ229">
        <v>350</v>
      </c>
      <c r="AR229" t="str">
        <v>NO</v>
      </c>
    </row>
    <row r="230" spans="1:44">
      <c r="A230" s="2">
        <v>229</v>
      </c>
      <c r="B230" t="s">
        <v>22</v>
      </c>
      <c r="C230" t="s">
        <v>17</v>
      </c>
      <c r="D230" t="s">
        <v>15</v>
      </c>
      <c r="E230" s="3">
        <v>120</v>
      </c>
      <c r="F230" s="4">
        <v>44410</v>
      </c>
      <c r="G230" s="2" t="s">
        <v>12</v>
      </c>
      <c r="N230">
        <v>357</v>
      </c>
      <c r="O230" t="str">
        <v>DESARROLLO</v>
      </c>
      <c r="P230" t="str">
        <v>CLIENTE-0003</v>
      </c>
      <c r="Q230" t="str">
        <v>MADRID</v>
      </c>
      <c r="R230" s="10">
        <v>300</v>
      </c>
      <c r="S230">
        <v>44102</v>
      </c>
      <c r="T230" t="str">
        <v>SI</v>
      </c>
      <c r="V230">
        <v>558</v>
      </c>
      <c r="W230" t="str">
        <v>PROYECTO</v>
      </c>
      <c r="X230" t="str">
        <v>CLIENTE-0003</v>
      </c>
      <c r="Y230" t="str">
        <v>MADRID</v>
      </c>
      <c r="Z230">
        <v>800</v>
      </c>
      <c r="AA230">
        <v>43854</v>
      </c>
      <c r="AB230" t="str">
        <v>SI</v>
      </c>
      <c r="AN230">
        <v>228</v>
      </c>
      <c r="AO230" t="str">
        <v>FORMACION</v>
      </c>
      <c r="AP230" t="str">
        <v>CLIENTE-0005</v>
      </c>
      <c r="AQ230">
        <v>300</v>
      </c>
      <c r="AR230" t="str">
        <v>NO</v>
      </c>
    </row>
    <row r="231" spans="1:44">
      <c r="A231" s="2">
        <v>230</v>
      </c>
      <c r="B231" t="s">
        <v>10</v>
      </c>
      <c r="C231" t="s">
        <v>19</v>
      </c>
      <c r="D231" t="s">
        <v>15</v>
      </c>
      <c r="E231" s="3">
        <v>150</v>
      </c>
      <c r="F231" s="4">
        <v>44023</v>
      </c>
      <c r="G231" s="2" t="s">
        <v>12</v>
      </c>
      <c r="N231">
        <v>361</v>
      </c>
      <c r="O231" t="str">
        <v>DESARROLLO</v>
      </c>
      <c r="P231" t="str">
        <v>CLIENTE-0007</v>
      </c>
      <c r="Q231" t="str">
        <v>BARCELONA</v>
      </c>
      <c r="R231" s="10">
        <v>300</v>
      </c>
      <c r="S231">
        <v>43467</v>
      </c>
      <c r="T231" t="str">
        <v>NO</v>
      </c>
      <c r="V231">
        <v>559</v>
      </c>
      <c r="W231" t="str">
        <v>EQUIPOS</v>
      </c>
      <c r="X231" t="str">
        <v>CLIENTE-0004</v>
      </c>
      <c r="Y231" t="str">
        <v>MADRID</v>
      </c>
      <c r="Z231">
        <v>750</v>
      </c>
      <c r="AA231">
        <v>44403</v>
      </c>
      <c r="AB231" t="str">
        <v>SI</v>
      </c>
      <c r="AN231">
        <v>229</v>
      </c>
      <c r="AO231" t="str">
        <v>CONSULTORIA</v>
      </c>
      <c r="AP231" t="str">
        <v>CLIENTE-0006</v>
      </c>
      <c r="AQ231">
        <v>120</v>
      </c>
      <c r="AR231" t="str">
        <v>SI</v>
      </c>
    </row>
    <row r="232" spans="1:44">
      <c r="A232" s="2">
        <v>231</v>
      </c>
      <c r="B232" t="s">
        <v>13</v>
      </c>
      <c r="C232" t="s">
        <v>23</v>
      </c>
      <c r="D232" t="s">
        <v>24</v>
      </c>
      <c r="E232" s="3">
        <v>1200</v>
      </c>
      <c r="F232" s="4">
        <v>43959</v>
      </c>
      <c r="G232" s="2" t="s">
        <v>12</v>
      </c>
      <c r="N232">
        <v>363</v>
      </c>
      <c r="O232" t="str">
        <v>EQUIPOS</v>
      </c>
      <c r="P232" t="str">
        <v>CLIENTE-0009</v>
      </c>
      <c r="Q232" t="str">
        <v>ALICANTE</v>
      </c>
      <c r="R232" s="10">
        <v>300</v>
      </c>
      <c r="S232">
        <v>43543</v>
      </c>
      <c r="T232" t="str">
        <v>NO</v>
      </c>
      <c r="V232">
        <v>565</v>
      </c>
      <c r="W232" t="str">
        <v>FORMACION</v>
      </c>
      <c r="X232" t="str">
        <v>CLIENTE-0010</v>
      </c>
      <c r="Y232" t="str">
        <v>MADRID</v>
      </c>
      <c r="Z232">
        <v>950</v>
      </c>
      <c r="AA232">
        <v>44448</v>
      </c>
      <c r="AB232" t="str">
        <v>SI</v>
      </c>
      <c r="AN232">
        <v>230</v>
      </c>
      <c r="AO232" t="str">
        <v>DESARROLLO</v>
      </c>
      <c r="AP232" t="str">
        <v>CLIENTE-0007</v>
      </c>
      <c r="AQ232">
        <v>150</v>
      </c>
      <c r="AR232" t="str">
        <v>SI</v>
      </c>
    </row>
    <row r="233" spans="1:44">
      <c r="A233" s="2">
        <v>232</v>
      </c>
      <c r="B233" t="s">
        <v>16</v>
      </c>
      <c r="C233" t="s">
        <v>25</v>
      </c>
      <c r="D233" t="s">
        <v>24</v>
      </c>
      <c r="E233" s="3">
        <v>800</v>
      </c>
      <c r="F233" s="4">
        <v>44052</v>
      </c>
      <c r="G233" s="2" t="s">
        <v>12</v>
      </c>
      <c r="N233">
        <v>368</v>
      </c>
      <c r="O233" t="str">
        <v>PROYECTO</v>
      </c>
      <c r="P233" t="str">
        <v>CLIENTE-0006</v>
      </c>
      <c r="Q233" t="str">
        <v>BARCELONA</v>
      </c>
      <c r="R233" s="10">
        <v>300</v>
      </c>
      <c r="S233">
        <v>44222</v>
      </c>
      <c r="T233" t="str">
        <v>SI</v>
      </c>
      <c r="V233">
        <v>566</v>
      </c>
      <c r="W233" t="str">
        <v>CONSULTORIA</v>
      </c>
      <c r="X233" t="str">
        <v>CLIENTE-0004</v>
      </c>
      <c r="Y233" t="str">
        <v>MADRID</v>
      </c>
      <c r="Z233">
        <v>1500</v>
      </c>
      <c r="AA233">
        <v>43646</v>
      </c>
      <c r="AB233" t="str">
        <v>SI</v>
      </c>
      <c r="AN233">
        <v>231</v>
      </c>
      <c r="AO233" t="str">
        <v>PROYECTO</v>
      </c>
      <c r="AP233" t="str">
        <v>CLIENTE-0008</v>
      </c>
      <c r="AQ233">
        <v>1200</v>
      </c>
      <c r="AR233" t="str">
        <v>SI</v>
      </c>
    </row>
    <row r="234" spans="1:44">
      <c r="A234" s="2">
        <v>233</v>
      </c>
      <c r="B234" t="s">
        <v>18</v>
      </c>
      <c r="C234" t="s">
        <v>26</v>
      </c>
      <c r="D234" t="s">
        <v>9</v>
      </c>
      <c r="E234" s="3">
        <v>750</v>
      </c>
      <c r="F234" s="4">
        <v>44527</v>
      </c>
      <c r="G234" s="2" t="s">
        <v>12</v>
      </c>
      <c r="N234">
        <v>372</v>
      </c>
      <c r="O234" t="str">
        <v>CONSULTORIA</v>
      </c>
      <c r="P234" t="str">
        <v>CLIENTE-0010</v>
      </c>
      <c r="Q234" t="str">
        <v>MADRID</v>
      </c>
      <c r="R234" s="10">
        <v>300</v>
      </c>
      <c r="S234">
        <v>43611</v>
      </c>
      <c r="T234" t="str">
        <v>SI</v>
      </c>
      <c r="V234">
        <v>573</v>
      </c>
      <c r="W234" t="str">
        <v>DESARROLLO</v>
      </c>
      <c r="X234" t="str">
        <v>CLIENTE-0010</v>
      </c>
      <c r="Y234" t="str">
        <v>MADRID</v>
      </c>
      <c r="Z234">
        <v>500</v>
      </c>
      <c r="AA234">
        <v>44089</v>
      </c>
      <c r="AB234" t="str">
        <v>SI</v>
      </c>
      <c r="AN234">
        <v>232</v>
      </c>
      <c r="AO234" t="str">
        <v>EQUIPOS</v>
      </c>
      <c r="AP234" t="str">
        <v>CLIENTE-0009</v>
      </c>
      <c r="AQ234">
        <v>800</v>
      </c>
      <c r="AR234" t="str">
        <v>SI</v>
      </c>
    </row>
    <row r="235" spans="1:44">
      <c r="A235" s="2">
        <v>234</v>
      </c>
      <c r="B235" t="s">
        <v>20</v>
      </c>
      <c r="C235" t="s">
        <v>27</v>
      </c>
      <c r="D235" t="s">
        <v>9</v>
      </c>
      <c r="E235" s="3">
        <v>4500</v>
      </c>
      <c r="F235" s="4">
        <v>43935</v>
      </c>
      <c r="G235" s="2" t="s">
        <v>12</v>
      </c>
      <c r="N235">
        <v>376</v>
      </c>
      <c r="O235" t="str">
        <v>PROGRAMA</v>
      </c>
      <c r="P235" t="str">
        <v>CLIENTE-0002</v>
      </c>
      <c r="Q235" t="str">
        <v>ALICANTE</v>
      </c>
      <c r="R235" s="10">
        <v>300</v>
      </c>
      <c r="S235">
        <v>44034</v>
      </c>
      <c r="T235" t="str">
        <v>SI</v>
      </c>
      <c r="V235">
        <v>574</v>
      </c>
      <c r="W235" t="str">
        <v>PROYECTO</v>
      </c>
      <c r="X235" t="str">
        <v>CLIENTE-0001</v>
      </c>
      <c r="Y235" t="str">
        <v>MADRID</v>
      </c>
      <c r="Z235">
        <v>750</v>
      </c>
      <c r="AA235">
        <v>43521</v>
      </c>
      <c r="AB235" t="str">
        <v>NO</v>
      </c>
      <c r="AN235">
        <v>233</v>
      </c>
      <c r="AO235" t="str">
        <v>PROGRAMA</v>
      </c>
      <c r="AP235" t="str">
        <v>CLIENTE-0010</v>
      </c>
      <c r="AQ235">
        <v>750</v>
      </c>
      <c r="AR235" t="str">
        <v>SI</v>
      </c>
    </row>
    <row r="236" spans="1:44">
      <c r="A236" s="2">
        <v>235</v>
      </c>
      <c r="B236" t="s">
        <v>22</v>
      </c>
      <c r="C236" t="s">
        <v>26</v>
      </c>
      <c r="D236" t="s">
        <v>9</v>
      </c>
      <c r="E236" s="3">
        <v>500</v>
      </c>
      <c r="F236" s="4">
        <v>44424</v>
      </c>
      <c r="G236" s="2" t="s">
        <v>12</v>
      </c>
      <c r="N236">
        <v>380</v>
      </c>
      <c r="O236" t="str">
        <v>PROYECTO</v>
      </c>
      <c r="P236" t="str">
        <v>CLIENTE-0006</v>
      </c>
      <c r="Q236" t="str">
        <v>BARCELONA</v>
      </c>
      <c r="R236" s="10">
        <v>300</v>
      </c>
      <c r="S236">
        <v>44136</v>
      </c>
      <c r="T236" t="str">
        <v>NO</v>
      </c>
      <c r="V236">
        <v>575</v>
      </c>
      <c r="W236" t="str">
        <v>EQUIPOS</v>
      </c>
      <c r="X236" t="str">
        <v>CLIENTE-0010</v>
      </c>
      <c r="Y236" t="str">
        <v>MADRID</v>
      </c>
      <c r="Z236">
        <v>950</v>
      </c>
      <c r="AA236">
        <v>44153</v>
      </c>
      <c r="AB236" t="str">
        <v>NO</v>
      </c>
      <c r="AN236">
        <v>234</v>
      </c>
      <c r="AO236" t="str">
        <v>FORMACION</v>
      </c>
      <c r="AP236" t="str">
        <v>CLIENTE-0001</v>
      </c>
      <c r="AQ236">
        <v>4500</v>
      </c>
      <c r="AR236" t="str">
        <v>SI</v>
      </c>
    </row>
    <row r="237" spans="1:44">
      <c r="A237" s="2">
        <v>236</v>
      </c>
      <c r="B237" t="s">
        <v>10</v>
      </c>
      <c r="C237" t="s">
        <v>27</v>
      </c>
      <c r="D237" t="s">
        <v>9</v>
      </c>
      <c r="E237" s="3">
        <v>750</v>
      </c>
      <c r="F237" s="4">
        <v>44047</v>
      </c>
      <c r="G237" s="2" t="s">
        <v>12</v>
      </c>
      <c r="N237">
        <v>382</v>
      </c>
      <c r="O237" t="str">
        <v>PROGRAMA</v>
      </c>
      <c r="P237" t="str">
        <v>CLIENTE-0008</v>
      </c>
      <c r="Q237" t="str">
        <v>ALICANTE</v>
      </c>
      <c r="R237" s="10">
        <v>300</v>
      </c>
      <c r="S237">
        <v>44164</v>
      </c>
      <c r="T237" t="str">
        <v>NO</v>
      </c>
      <c r="V237">
        <v>576</v>
      </c>
      <c r="W237" t="str">
        <v>PROGRAMA</v>
      </c>
      <c r="X237" t="str">
        <v>CLIENTE-0001</v>
      </c>
      <c r="Y237" t="str">
        <v>MADRID</v>
      </c>
      <c r="Z237">
        <v>680</v>
      </c>
      <c r="AA237">
        <v>44050</v>
      </c>
      <c r="AB237" t="str">
        <v>NO</v>
      </c>
      <c r="AN237">
        <v>235</v>
      </c>
      <c r="AO237" t="str">
        <v>CONSULTORIA</v>
      </c>
      <c r="AP237" t="str">
        <v>CLIENTE-0010</v>
      </c>
      <c r="AQ237">
        <v>500</v>
      </c>
      <c r="AR237" t="str">
        <v>SI</v>
      </c>
    </row>
    <row r="238" spans="1:44">
      <c r="A238" s="2">
        <v>237</v>
      </c>
      <c r="B238" t="s">
        <v>13</v>
      </c>
      <c r="C238" t="s">
        <v>29</v>
      </c>
      <c r="D238" t="s">
        <v>24</v>
      </c>
      <c r="E238" s="3">
        <v>950</v>
      </c>
      <c r="F238" s="4">
        <v>43467</v>
      </c>
      <c r="G238" s="2" t="s">
        <v>12</v>
      </c>
      <c r="N238">
        <v>399</v>
      </c>
      <c r="O238" t="str">
        <v>FORMACION</v>
      </c>
      <c r="P238" t="str">
        <v>CLIENTE-0001</v>
      </c>
      <c r="Q238" t="str">
        <v>MADRID</v>
      </c>
      <c r="R238" s="10">
        <v>300</v>
      </c>
      <c r="S238">
        <v>43963</v>
      </c>
      <c r="T238" t="str">
        <v>SI</v>
      </c>
      <c r="V238">
        <v>578</v>
      </c>
      <c r="W238" t="str">
        <v>CONSULTORIA</v>
      </c>
      <c r="X238" t="str">
        <v>CLIENTE-0003</v>
      </c>
      <c r="Y238" t="str">
        <v>MADRID</v>
      </c>
      <c r="Z238">
        <v>1500</v>
      </c>
      <c r="AA238">
        <v>43700</v>
      </c>
      <c r="AB238" t="str">
        <v>NO</v>
      </c>
      <c r="AN238">
        <v>236</v>
      </c>
      <c r="AO238" t="str">
        <v>DESARROLLO</v>
      </c>
      <c r="AP238" t="str">
        <v>CLIENTE-0001</v>
      </c>
      <c r="AQ238">
        <v>750</v>
      </c>
      <c r="AR238" t="str">
        <v>SI</v>
      </c>
    </row>
    <row r="239" spans="1:44">
      <c r="A239" s="2">
        <v>238</v>
      </c>
      <c r="B239" t="s">
        <v>16</v>
      </c>
      <c r="C239" t="s">
        <v>21</v>
      </c>
      <c r="D239" t="s">
        <v>9</v>
      </c>
      <c r="E239" s="3">
        <v>680</v>
      </c>
      <c r="F239" s="4">
        <v>43572</v>
      </c>
      <c r="G239" s="2" t="s">
        <v>12</v>
      </c>
      <c r="N239">
        <v>403</v>
      </c>
      <c r="O239" t="str">
        <v>EQUIPOS</v>
      </c>
      <c r="P239" t="str">
        <v>CLIENTE-0003</v>
      </c>
      <c r="Q239" t="str">
        <v>MADRID</v>
      </c>
      <c r="R239" s="10">
        <v>300</v>
      </c>
      <c r="S239">
        <v>44250</v>
      </c>
      <c r="T239" t="str">
        <v>SI</v>
      </c>
      <c r="V239">
        <v>579</v>
      </c>
      <c r="W239" t="str">
        <v>DESARROLLO</v>
      </c>
      <c r="X239" t="str">
        <v>CLIENTE-0004</v>
      </c>
      <c r="Y239" t="str">
        <v>MADRID</v>
      </c>
      <c r="Z239">
        <v>5000</v>
      </c>
      <c r="AA239">
        <v>44254</v>
      </c>
      <c r="AB239" t="str">
        <v>NO</v>
      </c>
      <c r="AN239">
        <v>237</v>
      </c>
      <c r="AO239" t="str">
        <v>PROYECTO</v>
      </c>
      <c r="AP239" t="str">
        <v>CLIENTE-0002</v>
      </c>
      <c r="AQ239">
        <v>950</v>
      </c>
      <c r="AR239" t="str">
        <v>SI</v>
      </c>
    </row>
    <row r="240" spans="1:44">
      <c r="A240" s="2">
        <v>239</v>
      </c>
      <c r="B240" t="s">
        <v>18</v>
      </c>
      <c r="C240" t="s">
        <v>11</v>
      </c>
      <c r="D240" t="s">
        <v>9</v>
      </c>
      <c r="E240" s="3">
        <v>950</v>
      </c>
      <c r="F240" s="4">
        <v>43517</v>
      </c>
      <c r="G240" s="2" t="s">
        <v>12</v>
      </c>
      <c r="N240">
        <v>405</v>
      </c>
      <c r="O240" t="str">
        <v>FORMACION</v>
      </c>
      <c r="P240" t="str">
        <v>CLIENTE-0005</v>
      </c>
      <c r="Q240" t="str">
        <v>BARCELONA</v>
      </c>
      <c r="R240" s="10">
        <v>300</v>
      </c>
      <c r="S240">
        <v>43596</v>
      </c>
      <c r="T240" t="str">
        <v>SI</v>
      </c>
      <c r="V240">
        <v>585</v>
      </c>
      <c r="W240" t="str">
        <v>CONSULTORIA</v>
      </c>
      <c r="X240" t="str">
        <v>CLIENTE-0010</v>
      </c>
      <c r="Y240" t="str">
        <v>MADRID</v>
      </c>
      <c r="Z240">
        <v>150</v>
      </c>
      <c r="AA240">
        <v>43917</v>
      </c>
      <c r="AB240" t="str">
        <v>SI</v>
      </c>
      <c r="AN240">
        <v>238</v>
      </c>
      <c r="AO240" t="str">
        <v>EQUIPOS</v>
      </c>
      <c r="AP240" t="str">
        <v>CLIENTE-0003</v>
      </c>
      <c r="AQ240">
        <v>680</v>
      </c>
      <c r="AR240" t="str">
        <v>SI</v>
      </c>
    </row>
    <row r="241" spans="1:44">
      <c r="A241" s="2">
        <v>240</v>
      </c>
      <c r="B241" t="s">
        <v>20</v>
      </c>
      <c r="C241" t="s">
        <v>14</v>
      </c>
      <c r="D241" t="s">
        <v>15</v>
      </c>
      <c r="E241" s="3">
        <v>1500</v>
      </c>
      <c r="F241" s="4">
        <v>43922</v>
      </c>
      <c r="G241" s="2" t="s">
        <v>12</v>
      </c>
      <c r="N241">
        <v>410</v>
      </c>
      <c r="O241" t="str">
        <v>PROGRAMA</v>
      </c>
      <c r="P241" t="str">
        <v>CLIENTE-0010</v>
      </c>
      <c r="Q241" t="str">
        <v>MADRID</v>
      </c>
      <c r="R241" s="10">
        <v>300</v>
      </c>
      <c r="S241">
        <v>44408</v>
      </c>
      <c r="T241" t="str">
        <v>NO</v>
      </c>
      <c r="V241">
        <v>586</v>
      </c>
      <c r="W241" t="str">
        <v>DESARROLLO</v>
      </c>
      <c r="X241" t="str">
        <v>CLIENTE-0004</v>
      </c>
      <c r="Y241" t="str">
        <v>MADRID</v>
      </c>
      <c r="Z241">
        <v>120</v>
      </c>
      <c r="AA241">
        <v>44215</v>
      </c>
      <c r="AB241" t="str">
        <v>SI</v>
      </c>
      <c r="AN241">
        <v>239</v>
      </c>
      <c r="AO241" t="str">
        <v>PROGRAMA</v>
      </c>
      <c r="AP241" t="str">
        <v>CLIENTE-0004</v>
      </c>
      <c r="AQ241">
        <v>950</v>
      </c>
      <c r="AR241" t="str">
        <v>SI</v>
      </c>
    </row>
    <row r="242" spans="1:44">
      <c r="A242" s="2">
        <v>241</v>
      </c>
      <c r="B242" t="s">
        <v>22</v>
      </c>
      <c r="C242" t="s">
        <v>17</v>
      </c>
      <c r="D242" t="s">
        <v>15</v>
      </c>
      <c r="E242" s="3">
        <v>5000</v>
      </c>
      <c r="F242" s="4">
        <v>44340</v>
      </c>
      <c r="G242" s="2" t="s">
        <v>12</v>
      </c>
      <c r="N242">
        <v>414</v>
      </c>
      <c r="O242" t="str">
        <v>DESARROLLO</v>
      </c>
      <c r="P242" t="str">
        <v>CLIENTE-0006</v>
      </c>
      <c r="Q242" t="str">
        <v>BARCELONA</v>
      </c>
      <c r="R242" s="10">
        <v>300</v>
      </c>
      <c r="S242">
        <v>44337</v>
      </c>
      <c r="T242" t="str">
        <v>NO</v>
      </c>
      <c r="V242">
        <v>593</v>
      </c>
      <c r="W242" t="str">
        <v>PROYECTO</v>
      </c>
      <c r="X242" t="str">
        <v>CLIENTE-0010</v>
      </c>
      <c r="Y242" t="str">
        <v>MADRID</v>
      </c>
      <c r="Z242">
        <v>800</v>
      </c>
      <c r="AA242">
        <v>43923</v>
      </c>
      <c r="AB242" t="str">
        <v>SI</v>
      </c>
      <c r="AN242">
        <v>240</v>
      </c>
      <c r="AO242" t="str">
        <v>FORMACION</v>
      </c>
      <c r="AP242" t="str">
        <v>CLIENTE-0005</v>
      </c>
      <c r="AQ242">
        <v>1500</v>
      </c>
      <c r="AR242" t="str">
        <v>SI</v>
      </c>
    </row>
    <row r="243" spans="1:44">
      <c r="A243" s="2">
        <v>242</v>
      </c>
      <c r="B243" t="s">
        <v>10</v>
      </c>
      <c r="C243" t="s">
        <v>19</v>
      </c>
      <c r="D243" t="s">
        <v>15</v>
      </c>
      <c r="E243" s="3">
        <v>6500</v>
      </c>
      <c r="F243" s="4">
        <v>44135</v>
      </c>
      <c r="G243" s="2" t="s">
        <v>12</v>
      </c>
      <c r="N243">
        <v>416</v>
      </c>
      <c r="O243" t="str">
        <v>EQUIPOS</v>
      </c>
      <c r="P243" t="str">
        <v>CLIENTE-0008</v>
      </c>
      <c r="Q243" t="str">
        <v>ALICANTE</v>
      </c>
      <c r="R243" s="10">
        <v>300</v>
      </c>
      <c r="S243">
        <v>43666</v>
      </c>
      <c r="T243" t="str">
        <v>SI</v>
      </c>
      <c r="V243">
        <v>594</v>
      </c>
      <c r="W243" t="str">
        <v>EQUIPOS</v>
      </c>
      <c r="X243" t="str">
        <v>CLIENTE-0001</v>
      </c>
      <c r="Y243" t="str">
        <v>MADRID</v>
      </c>
      <c r="Z243">
        <v>750</v>
      </c>
      <c r="AA243">
        <v>44502</v>
      </c>
      <c r="AB243" t="str">
        <v>SI</v>
      </c>
      <c r="AN243">
        <v>241</v>
      </c>
      <c r="AO243" t="str">
        <v>CONSULTORIA</v>
      </c>
      <c r="AP243" t="str">
        <v>CLIENTE-0006</v>
      </c>
      <c r="AQ243">
        <v>5000</v>
      </c>
      <c r="AR243" t="str">
        <v>SI</v>
      </c>
    </row>
    <row r="244" spans="1:44">
      <c r="A244" s="2">
        <v>243</v>
      </c>
      <c r="B244" t="s">
        <v>13</v>
      </c>
      <c r="C244" t="s">
        <v>23</v>
      </c>
      <c r="D244" t="s">
        <v>24</v>
      </c>
      <c r="E244" s="3">
        <v>8500</v>
      </c>
      <c r="F244" s="4">
        <v>44351</v>
      </c>
      <c r="G244" s="2" t="s">
        <v>12</v>
      </c>
      <c r="N244">
        <v>445</v>
      </c>
      <c r="O244" t="str">
        <v>DESARROLLO</v>
      </c>
      <c r="P244" t="str">
        <v>CLIENTE-0010</v>
      </c>
      <c r="Q244" t="str">
        <v>MADRID</v>
      </c>
      <c r="R244" s="10">
        <v>300</v>
      </c>
      <c r="S244">
        <v>43644</v>
      </c>
      <c r="T244" t="str">
        <v>SI</v>
      </c>
      <c r="V244">
        <v>595</v>
      </c>
      <c r="W244" t="str">
        <v>CONSULTORIA</v>
      </c>
      <c r="X244" t="str">
        <v>CLIENTE-0010</v>
      </c>
      <c r="Y244" t="str">
        <v>MADRID</v>
      </c>
      <c r="Z244">
        <v>4500</v>
      </c>
      <c r="AA244">
        <v>44184</v>
      </c>
      <c r="AB244" t="str">
        <v>SI</v>
      </c>
      <c r="AN244">
        <v>242</v>
      </c>
      <c r="AO244" t="str">
        <v>DESARROLLO</v>
      </c>
      <c r="AP244" t="str">
        <v>CLIENTE-0007</v>
      </c>
      <c r="AQ244">
        <v>6500</v>
      </c>
      <c r="AR244" t="str">
        <v>SI</v>
      </c>
    </row>
    <row r="245" spans="1:44">
      <c r="A245" s="2">
        <v>244</v>
      </c>
      <c r="B245" t="s">
        <v>16</v>
      </c>
      <c r="C245" t="s">
        <v>25</v>
      </c>
      <c r="D245" t="s">
        <v>24</v>
      </c>
      <c r="E245" s="3">
        <v>1200</v>
      </c>
      <c r="F245" s="4">
        <v>44481</v>
      </c>
      <c r="G245" s="2" t="s">
        <v>12</v>
      </c>
      <c r="N245">
        <v>449</v>
      </c>
      <c r="O245" t="str">
        <v>DESARROLLO</v>
      </c>
      <c r="P245" t="str">
        <v>CLIENTE-0004</v>
      </c>
      <c r="Q245" t="str">
        <v>MADRID</v>
      </c>
      <c r="R245" s="10">
        <v>300</v>
      </c>
      <c r="S245">
        <v>44040</v>
      </c>
      <c r="T245" t="str">
        <v>SI</v>
      </c>
      <c r="V245">
        <v>596</v>
      </c>
      <c r="W245" t="str">
        <v>DESARROLLO</v>
      </c>
      <c r="X245" t="str">
        <v>CLIENTE-0001</v>
      </c>
      <c r="Y245" t="str">
        <v>MADRID</v>
      </c>
      <c r="Z245">
        <v>500</v>
      </c>
      <c r="AA245">
        <v>43853</v>
      </c>
      <c r="AB245" t="str">
        <v>SI</v>
      </c>
      <c r="AN245">
        <v>243</v>
      </c>
      <c r="AO245" t="str">
        <v>PROYECTO</v>
      </c>
      <c r="AP245" t="str">
        <v>CLIENTE-0008</v>
      </c>
      <c r="AQ245">
        <v>8500</v>
      </c>
      <c r="AR245" t="str">
        <v>SI</v>
      </c>
    </row>
    <row r="246" spans="1:44">
      <c r="A246" s="2">
        <v>245</v>
      </c>
      <c r="B246" t="s">
        <v>22</v>
      </c>
      <c r="C246" t="s">
        <v>26</v>
      </c>
      <c r="D246" t="s">
        <v>9</v>
      </c>
      <c r="E246" s="3">
        <v>300</v>
      </c>
      <c r="F246" s="4">
        <v>44514</v>
      </c>
      <c r="G246" s="2" t="s">
        <v>12</v>
      </c>
      <c r="N246">
        <v>451</v>
      </c>
      <c r="O246" t="str">
        <v>EQUIPOS</v>
      </c>
      <c r="P246" t="str">
        <v>CLIENTE-0006</v>
      </c>
      <c r="Q246" t="str">
        <v>BARCELONA</v>
      </c>
      <c r="R246" s="10">
        <v>300</v>
      </c>
      <c r="S246">
        <v>44450</v>
      </c>
      <c r="T246" t="str">
        <v>NO</v>
      </c>
      <c r="V246">
        <v>598</v>
      </c>
      <c r="W246" t="str">
        <v>EQUIPOS</v>
      </c>
      <c r="X246" t="str">
        <v>CLIENTE-0003</v>
      </c>
      <c r="Y246" t="str">
        <v>MADRID</v>
      </c>
      <c r="Z246">
        <v>950</v>
      </c>
      <c r="AA246">
        <v>44347</v>
      </c>
      <c r="AB246" t="str">
        <v>SI</v>
      </c>
      <c r="AN246">
        <v>244</v>
      </c>
      <c r="AO246" t="str">
        <v>EQUIPOS</v>
      </c>
      <c r="AP246" t="str">
        <v>CLIENTE-0009</v>
      </c>
      <c r="AQ246">
        <v>1200</v>
      </c>
      <c r="AR246" t="str">
        <v>SI</v>
      </c>
    </row>
    <row r="247" spans="1:44">
      <c r="A247" s="2">
        <v>246</v>
      </c>
      <c r="B247" t="s">
        <v>10</v>
      </c>
      <c r="C247" t="s">
        <v>11</v>
      </c>
      <c r="D247" t="s">
        <v>9</v>
      </c>
      <c r="E247" s="3">
        <v>200</v>
      </c>
      <c r="F247" s="4">
        <v>43940</v>
      </c>
      <c r="G247" s="2" t="s">
        <v>12</v>
      </c>
      <c r="N247">
        <v>468</v>
      </c>
      <c r="O247" t="str">
        <v>PROYECTO</v>
      </c>
      <c r="P247" t="str">
        <v>CLIENTE-0003</v>
      </c>
      <c r="Q247" t="str">
        <v>MADRID</v>
      </c>
      <c r="R247" s="10">
        <v>300</v>
      </c>
      <c r="S247">
        <v>43675</v>
      </c>
      <c r="T247" t="str">
        <v>SI</v>
      </c>
      <c r="V247">
        <v>599</v>
      </c>
      <c r="W247" t="str">
        <v>PROGRAMA</v>
      </c>
      <c r="X247" t="str">
        <v>CLIENTE-0004</v>
      </c>
      <c r="Y247" t="str">
        <v>MADRID</v>
      </c>
      <c r="Z247">
        <v>680</v>
      </c>
      <c r="AA247">
        <v>44559</v>
      </c>
      <c r="AB247" t="str">
        <v>SI</v>
      </c>
      <c r="AN247">
        <v>245</v>
      </c>
      <c r="AO247" t="str">
        <v>CONSULTORIA</v>
      </c>
      <c r="AP247" t="str">
        <v>CLIENTE-0010</v>
      </c>
      <c r="AQ247">
        <v>300</v>
      </c>
      <c r="AR247" t="str">
        <v>SI</v>
      </c>
    </row>
    <row r="248" spans="1:44">
      <c r="A248" s="2">
        <v>247</v>
      </c>
      <c r="B248" t="s">
        <v>13</v>
      </c>
      <c r="C248" t="s">
        <v>14</v>
      </c>
      <c r="D248" t="s">
        <v>15</v>
      </c>
      <c r="E248" s="3">
        <v>150</v>
      </c>
      <c r="F248" s="4">
        <v>43778</v>
      </c>
      <c r="G248" s="2" t="s">
        <v>12</v>
      </c>
      <c r="N248">
        <v>472</v>
      </c>
      <c r="O248" t="str">
        <v>CONSULTORIA</v>
      </c>
      <c r="P248" t="str">
        <v>CLIENTE-0007</v>
      </c>
      <c r="Q248" t="str">
        <v>BARCELONA</v>
      </c>
      <c r="R248" s="10">
        <v>300</v>
      </c>
      <c r="S248">
        <v>43543</v>
      </c>
      <c r="T248" t="str">
        <v>SI</v>
      </c>
      <c r="V248">
        <v>605</v>
      </c>
      <c r="W248" t="str">
        <v>PROGRAMA</v>
      </c>
      <c r="X248" t="str">
        <v>CLIENTE-0010</v>
      </c>
      <c r="Y248" t="str">
        <v>MADRID</v>
      </c>
      <c r="Z248">
        <v>1200</v>
      </c>
      <c r="AA248">
        <v>44332</v>
      </c>
      <c r="AB248" t="str">
        <v>NO</v>
      </c>
      <c r="AN248">
        <v>246</v>
      </c>
      <c r="AO248" t="str">
        <v>DESARROLLO</v>
      </c>
      <c r="AP248" t="str">
        <v>CLIENTE-0004</v>
      </c>
      <c r="AQ248">
        <v>200</v>
      </c>
      <c r="AR248" t="str">
        <v>SI</v>
      </c>
    </row>
    <row r="249" spans="1:44">
      <c r="A249" s="2">
        <v>248</v>
      </c>
      <c r="B249" t="s">
        <v>16</v>
      </c>
      <c r="C249" t="s">
        <v>14</v>
      </c>
      <c r="D249" t="s">
        <v>15</v>
      </c>
      <c r="E249" s="3">
        <v>120</v>
      </c>
      <c r="F249" s="4">
        <v>44152</v>
      </c>
      <c r="G249" s="2" t="s">
        <v>12</v>
      </c>
      <c r="N249">
        <v>474</v>
      </c>
      <c r="O249" t="str">
        <v>PROYECTO</v>
      </c>
      <c r="P249" t="str">
        <v>CLIENTE-0009</v>
      </c>
      <c r="Q249" t="str">
        <v>ALICANTE</v>
      </c>
      <c r="R249" s="10">
        <v>300</v>
      </c>
      <c r="S249">
        <v>44408</v>
      </c>
      <c r="T249" t="str">
        <v>SI</v>
      </c>
      <c r="V249">
        <v>606</v>
      </c>
      <c r="W249" t="str">
        <v>PROYECTO</v>
      </c>
      <c r="X249" t="str">
        <v>CLIENTE-0004</v>
      </c>
      <c r="Y249" t="str">
        <v>MADRID</v>
      </c>
      <c r="Z249">
        <v>300</v>
      </c>
      <c r="AA249">
        <v>43592</v>
      </c>
      <c r="AB249" t="str">
        <v>NO</v>
      </c>
      <c r="AN249">
        <v>247</v>
      </c>
      <c r="AO249" t="str">
        <v>PROYECTO</v>
      </c>
      <c r="AP249" t="str">
        <v>CLIENTE-0005</v>
      </c>
      <c r="AQ249">
        <v>150</v>
      </c>
      <c r="AR249" t="str">
        <v>SI</v>
      </c>
    </row>
    <row r="250" spans="1:44">
      <c r="A250" s="2">
        <v>249</v>
      </c>
      <c r="B250" t="s">
        <v>18</v>
      </c>
      <c r="C250" t="s">
        <v>17</v>
      </c>
      <c r="D250" t="s">
        <v>15</v>
      </c>
      <c r="E250" s="3">
        <v>300</v>
      </c>
      <c r="F250" s="4">
        <v>43669</v>
      </c>
      <c r="G250" s="2" t="s">
        <v>12</v>
      </c>
      <c r="N250">
        <v>479</v>
      </c>
      <c r="O250" t="str">
        <v>DESARROLLO</v>
      </c>
      <c r="P250" t="str">
        <v>CLIENTE-0007</v>
      </c>
      <c r="Q250" t="str">
        <v>BARCELONA</v>
      </c>
      <c r="R250" s="10">
        <v>300</v>
      </c>
      <c r="S250">
        <v>44036</v>
      </c>
      <c r="T250" t="str">
        <v>NO</v>
      </c>
      <c r="V250">
        <v>610</v>
      </c>
      <c r="W250" t="str">
        <v>CONSULTORIA</v>
      </c>
      <c r="X250" t="str">
        <v>CLIENTE-0003</v>
      </c>
      <c r="Y250" t="str">
        <v>MADRID</v>
      </c>
      <c r="Z250">
        <v>300</v>
      </c>
      <c r="AA250">
        <v>43872</v>
      </c>
      <c r="AB250" t="str">
        <v>SI</v>
      </c>
      <c r="AN250">
        <v>248</v>
      </c>
      <c r="AO250" t="str">
        <v>EQUIPOS</v>
      </c>
      <c r="AP250" t="str">
        <v>CLIENTE-0005</v>
      </c>
      <c r="AQ250">
        <v>120</v>
      </c>
      <c r="AR250" t="str">
        <v>SI</v>
      </c>
    </row>
    <row r="251" spans="1:44">
      <c r="A251" s="2">
        <v>250</v>
      </c>
      <c r="B251" t="s">
        <v>20</v>
      </c>
      <c r="C251" t="s">
        <v>19</v>
      </c>
      <c r="D251" t="s">
        <v>15</v>
      </c>
      <c r="E251" s="3">
        <v>350</v>
      </c>
      <c r="F251" s="4">
        <v>43852</v>
      </c>
      <c r="G251" s="2" t="s">
        <v>28</v>
      </c>
      <c r="N251">
        <v>483</v>
      </c>
      <c r="O251" t="str">
        <v>DESARROLLO</v>
      </c>
      <c r="P251" t="str">
        <v>CLIENTE-0005</v>
      </c>
      <c r="Q251" t="str">
        <v>BARCELONA</v>
      </c>
      <c r="R251" s="10">
        <v>300</v>
      </c>
      <c r="S251">
        <v>43599</v>
      </c>
      <c r="T251" t="str">
        <v>NO</v>
      </c>
      <c r="V251">
        <v>611</v>
      </c>
      <c r="W251" t="str">
        <v>DESARROLLO</v>
      </c>
      <c r="X251" t="str">
        <v>CLIENTE-0004</v>
      </c>
      <c r="Y251" t="str">
        <v>MADRID</v>
      </c>
      <c r="Z251">
        <v>350</v>
      </c>
      <c r="AA251">
        <v>43742</v>
      </c>
      <c r="AB251" t="str">
        <v>SI</v>
      </c>
      <c r="AN251">
        <v>249</v>
      </c>
      <c r="AO251" t="str">
        <v>PROGRAMA</v>
      </c>
      <c r="AP251" t="str">
        <v>CLIENTE-0006</v>
      </c>
      <c r="AQ251">
        <v>300</v>
      </c>
      <c r="AR251" t="str">
        <v>SI</v>
      </c>
    </row>
    <row r="252" spans="1:44">
      <c r="A252" s="2">
        <v>251</v>
      </c>
      <c r="B252" t="s">
        <v>22</v>
      </c>
      <c r="C252" t="s">
        <v>23</v>
      </c>
      <c r="D252" t="s">
        <v>24</v>
      </c>
      <c r="E252" s="3">
        <v>300</v>
      </c>
      <c r="F252" s="4">
        <v>43630</v>
      </c>
      <c r="G252" s="2" t="s">
        <v>28</v>
      </c>
      <c r="N252">
        <v>485</v>
      </c>
      <c r="O252" t="str">
        <v>EQUIPOS</v>
      </c>
      <c r="P252" t="str">
        <v>CLIENTE-0007</v>
      </c>
      <c r="Q252" t="str">
        <v>BARCELONA</v>
      </c>
      <c r="R252" s="10">
        <v>300</v>
      </c>
      <c r="S252">
        <v>43510</v>
      </c>
      <c r="T252" t="str">
        <v>SI</v>
      </c>
      <c r="V252">
        <v>618</v>
      </c>
      <c r="W252" t="str">
        <v>PROGRAMA</v>
      </c>
      <c r="X252" t="str">
        <v>CLIENTE-0010</v>
      </c>
      <c r="Y252" t="str">
        <v>MADRID</v>
      </c>
      <c r="Z252">
        <v>200</v>
      </c>
      <c r="AA252">
        <v>44302</v>
      </c>
      <c r="AB252" t="str">
        <v>NO</v>
      </c>
      <c r="AN252">
        <v>250</v>
      </c>
      <c r="AO252" t="str">
        <v>FORMACION</v>
      </c>
      <c r="AP252" t="str">
        <v>CLIENTE-0007</v>
      </c>
      <c r="AQ252">
        <v>350</v>
      </c>
      <c r="AR252" t="str">
        <v>NO</v>
      </c>
    </row>
    <row r="253" spans="1:44">
      <c r="A253" s="2">
        <v>252</v>
      </c>
      <c r="B253" t="s">
        <v>10</v>
      </c>
      <c r="C253" t="s">
        <v>25</v>
      </c>
      <c r="D253" t="s">
        <v>24</v>
      </c>
      <c r="E253" s="3">
        <v>120</v>
      </c>
      <c r="F253" s="4">
        <v>44143</v>
      </c>
      <c r="G253" s="2" t="s">
        <v>28</v>
      </c>
      <c r="N253">
        <v>514</v>
      </c>
      <c r="O253" t="str">
        <v>DESARROLLO</v>
      </c>
      <c r="P253" t="str">
        <v>CLIENTE-0004</v>
      </c>
      <c r="Q253" t="str">
        <v>MADRID</v>
      </c>
      <c r="R253" s="10">
        <v>300</v>
      </c>
      <c r="S253">
        <v>44382</v>
      </c>
      <c r="T253" t="str">
        <v>SI</v>
      </c>
      <c r="V253">
        <v>619</v>
      </c>
      <c r="W253" t="str">
        <v>FORMACION</v>
      </c>
      <c r="X253" t="str">
        <v>CLIENTE-0001</v>
      </c>
      <c r="Y253" t="str">
        <v>MADRID</v>
      </c>
      <c r="Z253">
        <v>150</v>
      </c>
      <c r="AA253">
        <v>44008</v>
      </c>
      <c r="AB253" t="str">
        <v>NO</v>
      </c>
      <c r="AN253">
        <v>251</v>
      </c>
      <c r="AO253" t="str">
        <v>CONSULTORIA</v>
      </c>
      <c r="AP253" t="str">
        <v>CLIENTE-0008</v>
      </c>
      <c r="AQ253">
        <v>300</v>
      </c>
      <c r="AR253" t="str">
        <v>NO</v>
      </c>
    </row>
    <row r="254" spans="1:44">
      <c r="A254" s="2">
        <v>253</v>
      </c>
      <c r="B254" t="s">
        <v>13</v>
      </c>
      <c r="C254" t="s">
        <v>26</v>
      </c>
      <c r="D254" t="s">
        <v>9</v>
      </c>
      <c r="E254" s="3">
        <v>150</v>
      </c>
      <c r="F254" s="4">
        <v>43528</v>
      </c>
      <c r="G254" s="2" t="s">
        <v>28</v>
      </c>
      <c r="N254">
        <v>518</v>
      </c>
      <c r="O254" t="str">
        <v>PROYECTO</v>
      </c>
      <c r="P254" t="str">
        <v>CLIENTE-0008</v>
      </c>
      <c r="Q254" t="str">
        <v>ALICANTE</v>
      </c>
      <c r="R254" s="10">
        <v>300</v>
      </c>
      <c r="S254">
        <v>44332</v>
      </c>
      <c r="T254" t="str">
        <v>SI</v>
      </c>
      <c r="V254">
        <v>620</v>
      </c>
      <c r="W254" t="str">
        <v>CONSULTORIA</v>
      </c>
      <c r="X254" t="str">
        <v>CLIENTE-0010</v>
      </c>
      <c r="Y254" t="str">
        <v>MADRID</v>
      </c>
      <c r="Z254">
        <v>120</v>
      </c>
      <c r="AA254">
        <v>44214</v>
      </c>
      <c r="AB254" t="str">
        <v>NO</v>
      </c>
      <c r="AN254">
        <v>252</v>
      </c>
      <c r="AO254" t="str">
        <v>DESARROLLO</v>
      </c>
      <c r="AP254" t="str">
        <v>CLIENTE-0009</v>
      </c>
      <c r="AQ254">
        <v>120</v>
      </c>
      <c r="AR254" t="str">
        <v>NO</v>
      </c>
    </row>
    <row r="255" spans="1:44">
      <c r="A255" s="2">
        <v>254</v>
      </c>
      <c r="B255" t="s">
        <v>16</v>
      </c>
      <c r="C255" t="s">
        <v>27</v>
      </c>
      <c r="D255" t="s">
        <v>9</v>
      </c>
      <c r="E255" s="3">
        <v>8500</v>
      </c>
      <c r="F255" s="4">
        <v>43582</v>
      </c>
      <c r="G255" s="2" t="s">
        <v>28</v>
      </c>
      <c r="N255">
        <v>520</v>
      </c>
      <c r="O255" t="str">
        <v>PROGRAMA</v>
      </c>
      <c r="P255" t="str">
        <v>CLIENTE-0010</v>
      </c>
      <c r="Q255" t="str">
        <v>MADRID</v>
      </c>
      <c r="R255" s="10">
        <v>300</v>
      </c>
      <c r="S255">
        <v>43570</v>
      </c>
      <c r="T255" t="str">
        <v>SI</v>
      </c>
      <c r="V255">
        <v>621</v>
      </c>
      <c r="W255" t="str">
        <v>DESARROLLO</v>
      </c>
      <c r="X255" t="str">
        <v>CLIENTE-0001</v>
      </c>
      <c r="Y255" t="str">
        <v>MADRID</v>
      </c>
      <c r="Z255">
        <v>300</v>
      </c>
      <c r="AA255">
        <v>43604</v>
      </c>
      <c r="AB255" t="str">
        <v>NO</v>
      </c>
      <c r="AN255">
        <v>253</v>
      </c>
      <c r="AO255" t="str">
        <v>PROYECTO</v>
      </c>
      <c r="AP255" t="str">
        <v>CLIENTE-0010</v>
      </c>
      <c r="AQ255">
        <v>150</v>
      </c>
      <c r="AR255" t="str">
        <v>NO</v>
      </c>
    </row>
    <row r="256" spans="1:44">
      <c r="A256" s="2">
        <v>255</v>
      </c>
      <c r="B256" t="s">
        <v>18</v>
      </c>
      <c r="C256" t="s">
        <v>26</v>
      </c>
      <c r="D256" t="s">
        <v>9</v>
      </c>
      <c r="E256" s="3">
        <v>1200</v>
      </c>
      <c r="F256" s="4">
        <v>44473</v>
      </c>
      <c r="G256" s="2" t="s">
        <v>28</v>
      </c>
      <c r="N256">
        <v>537</v>
      </c>
      <c r="O256" t="str">
        <v>FORMACION</v>
      </c>
      <c r="P256" t="str">
        <v>CLIENTE-0002</v>
      </c>
      <c r="Q256" t="str">
        <v>ALICANTE</v>
      </c>
      <c r="R256" s="10">
        <v>300</v>
      </c>
      <c r="S256">
        <v>43725</v>
      </c>
      <c r="T256" t="str">
        <v>NO</v>
      </c>
      <c r="V256">
        <v>623</v>
      </c>
      <c r="W256" t="str">
        <v>EQUIPOS</v>
      </c>
      <c r="X256" t="str">
        <v>CLIENTE-0003</v>
      </c>
      <c r="Y256" t="str">
        <v>MADRID</v>
      </c>
      <c r="Z256">
        <v>300</v>
      </c>
      <c r="AA256">
        <v>44210</v>
      </c>
      <c r="AB256" t="str">
        <v>SI</v>
      </c>
      <c r="AN256">
        <v>254</v>
      </c>
      <c r="AO256" t="str">
        <v>EQUIPOS</v>
      </c>
      <c r="AP256" t="str">
        <v>CLIENTE-0001</v>
      </c>
      <c r="AQ256">
        <v>8500</v>
      </c>
      <c r="AR256" t="str">
        <v>NO</v>
      </c>
    </row>
    <row r="257" spans="1:44">
      <c r="A257" s="2">
        <v>256</v>
      </c>
      <c r="B257" t="s">
        <v>20</v>
      </c>
      <c r="C257" t="s">
        <v>27</v>
      </c>
      <c r="D257" t="s">
        <v>9</v>
      </c>
      <c r="E257" s="3">
        <v>300</v>
      </c>
      <c r="F257" s="4">
        <v>43853</v>
      </c>
      <c r="G257" s="2" t="s">
        <v>28</v>
      </c>
      <c r="N257">
        <v>541</v>
      </c>
      <c r="O257" t="str">
        <v>EQUIPOS</v>
      </c>
      <c r="P257" t="str">
        <v>CLIENTE-0006</v>
      </c>
      <c r="Q257" t="str">
        <v>BARCELONA</v>
      </c>
      <c r="R257" s="10">
        <v>300</v>
      </c>
      <c r="S257">
        <v>43853</v>
      </c>
      <c r="T257" t="str">
        <v>SI</v>
      </c>
      <c r="V257">
        <v>624</v>
      </c>
      <c r="W257" t="str">
        <v>PROGRAMA</v>
      </c>
      <c r="X257" t="str">
        <v>CLIENTE-0004</v>
      </c>
      <c r="Y257" t="str">
        <v>MADRID</v>
      </c>
      <c r="Z257">
        <v>120</v>
      </c>
      <c r="AA257">
        <v>44102</v>
      </c>
      <c r="AB257" t="str">
        <v>SI</v>
      </c>
      <c r="AN257">
        <v>255</v>
      </c>
      <c r="AO257" t="str">
        <v>PROGRAMA</v>
      </c>
      <c r="AP257" t="str">
        <v>CLIENTE-0010</v>
      </c>
      <c r="AQ257">
        <v>1200</v>
      </c>
      <c r="AR257" t="str">
        <v>NO</v>
      </c>
    </row>
    <row r="258" spans="1:44">
      <c r="A258" s="2">
        <v>257</v>
      </c>
      <c r="B258" t="s">
        <v>22</v>
      </c>
      <c r="C258" t="s">
        <v>29</v>
      </c>
      <c r="D258" t="s">
        <v>24</v>
      </c>
      <c r="E258" s="3">
        <v>200</v>
      </c>
      <c r="F258" s="4">
        <v>44488</v>
      </c>
      <c r="G258" s="2" t="s">
        <v>12</v>
      </c>
      <c r="N258">
        <v>543</v>
      </c>
      <c r="O258" t="str">
        <v>FORMACION</v>
      </c>
      <c r="P258" t="str">
        <v>CLIENTE-0008</v>
      </c>
      <c r="Q258" t="str">
        <v>ALICANTE</v>
      </c>
      <c r="R258" s="10">
        <v>300</v>
      </c>
      <c r="S258">
        <v>44090</v>
      </c>
      <c r="T258" t="str">
        <v>SI</v>
      </c>
      <c r="V258">
        <v>630</v>
      </c>
      <c r="W258" t="str">
        <v>PROGRAMA</v>
      </c>
      <c r="X258" t="str">
        <v>CLIENTE-0010</v>
      </c>
      <c r="Y258" t="str">
        <v>MADRID</v>
      </c>
      <c r="Z258">
        <v>500</v>
      </c>
      <c r="AA258">
        <v>44247</v>
      </c>
      <c r="AB258" t="str">
        <v>SI</v>
      </c>
      <c r="AN258">
        <v>256</v>
      </c>
      <c r="AO258" t="str">
        <v>FORMACION</v>
      </c>
      <c r="AP258" t="str">
        <v>CLIENTE-0001</v>
      </c>
      <c r="AQ258">
        <v>300</v>
      </c>
      <c r="AR258" t="str">
        <v>NO</v>
      </c>
    </row>
    <row r="259" spans="1:44">
      <c r="A259" s="2">
        <v>258</v>
      </c>
      <c r="B259" t="s">
        <v>10</v>
      </c>
      <c r="C259" t="s">
        <v>21</v>
      </c>
      <c r="D259" t="s">
        <v>9</v>
      </c>
      <c r="E259" s="3">
        <v>150</v>
      </c>
      <c r="F259" s="4">
        <v>44261</v>
      </c>
      <c r="G259" s="2" t="s">
        <v>12</v>
      </c>
      <c r="N259">
        <v>548</v>
      </c>
      <c r="O259" t="str">
        <v>PROGRAMA</v>
      </c>
      <c r="P259" t="str">
        <v>CLIENTE-0005</v>
      </c>
      <c r="Q259" t="str">
        <v>BARCELONA</v>
      </c>
      <c r="R259" s="10">
        <v>300</v>
      </c>
      <c r="S259">
        <v>43829</v>
      </c>
      <c r="T259" t="str">
        <v>NO</v>
      </c>
      <c r="V259">
        <v>631</v>
      </c>
      <c r="W259" t="str">
        <v>FORMACION</v>
      </c>
      <c r="X259" t="str">
        <v>CLIENTE-0004</v>
      </c>
      <c r="Y259" t="str">
        <v>MADRID</v>
      </c>
      <c r="Z259">
        <v>750</v>
      </c>
      <c r="AA259">
        <v>44451</v>
      </c>
      <c r="AB259" t="str">
        <v>SI</v>
      </c>
      <c r="AN259">
        <v>257</v>
      </c>
      <c r="AO259" t="str">
        <v>CONSULTORIA</v>
      </c>
      <c r="AP259" t="str">
        <v>CLIENTE-0002</v>
      </c>
      <c r="AQ259">
        <v>200</v>
      </c>
      <c r="AR259" t="str">
        <v>SI</v>
      </c>
    </row>
    <row r="260" spans="1:44">
      <c r="A260" s="2">
        <v>259</v>
      </c>
      <c r="B260" t="s">
        <v>13</v>
      </c>
      <c r="C260" t="s">
        <v>11</v>
      </c>
      <c r="D260" t="s">
        <v>9</v>
      </c>
      <c r="E260" s="3">
        <v>120</v>
      </c>
      <c r="F260" s="4">
        <v>44180</v>
      </c>
      <c r="G260" s="2" t="s">
        <v>12</v>
      </c>
      <c r="N260">
        <v>552</v>
      </c>
      <c r="O260" t="str">
        <v>PROYECTO</v>
      </c>
      <c r="P260" t="str">
        <v>CLIENTE-0009</v>
      </c>
      <c r="Q260" t="str">
        <v>ALICANTE</v>
      </c>
      <c r="R260" s="10">
        <v>300</v>
      </c>
      <c r="S260">
        <v>43749</v>
      </c>
      <c r="T260" t="str">
        <v>NO</v>
      </c>
      <c r="V260">
        <v>638</v>
      </c>
      <c r="W260" t="str">
        <v>CONSULTORIA</v>
      </c>
      <c r="X260" t="str">
        <v>CLIENTE-0010</v>
      </c>
      <c r="Y260" t="str">
        <v>MADRID</v>
      </c>
      <c r="Z260">
        <v>750</v>
      </c>
      <c r="AA260">
        <v>44370</v>
      </c>
      <c r="AB260" t="str">
        <v>SI</v>
      </c>
      <c r="AN260">
        <v>258</v>
      </c>
      <c r="AO260" t="str">
        <v>DESARROLLO</v>
      </c>
      <c r="AP260" t="str">
        <v>CLIENTE-0003</v>
      </c>
      <c r="AQ260">
        <v>150</v>
      </c>
      <c r="AR260" t="str">
        <v>SI</v>
      </c>
    </row>
    <row r="261" spans="1:44">
      <c r="A261" s="2">
        <v>260</v>
      </c>
      <c r="B261" t="s">
        <v>16</v>
      </c>
      <c r="C261" t="s">
        <v>14</v>
      </c>
      <c r="D261" t="s">
        <v>15</v>
      </c>
      <c r="E261" s="3">
        <v>300</v>
      </c>
      <c r="F261" s="4">
        <v>44281</v>
      </c>
      <c r="G261" s="2" t="s">
        <v>12</v>
      </c>
      <c r="N261">
        <v>554</v>
      </c>
      <c r="O261" t="str">
        <v>PROGRAMA</v>
      </c>
      <c r="P261" t="str">
        <v>CLIENTE-0001</v>
      </c>
      <c r="Q261" t="str">
        <v>MADRID</v>
      </c>
      <c r="R261" s="10">
        <v>300</v>
      </c>
      <c r="S261">
        <v>43959</v>
      </c>
      <c r="T261" t="str">
        <v>SI</v>
      </c>
      <c r="V261">
        <v>639</v>
      </c>
      <c r="W261" t="str">
        <v>DESARROLLO</v>
      </c>
      <c r="X261" t="str">
        <v>CLIENTE-0001</v>
      </c>
      <c r="Y261" t="str">
        <v>MADRID</v>
      </c>
      <c r="Z261">
        <v>4500</v>
      </c>
      <c r="AA261">
        <v>43510</v>
      </c>
      <c r="AB261" t="str">
        <v>SI</v>
      </c>
      <c r="AN261">
        <v>259</v>
      </c>
      <c r="AO261" t="str">
        <v>PROYECTO</v>
      </c>
      <c r="AP261" t="str">
        <v>CLIENTE-0004</v>
      </c>
      <c r="AQ261">
        <v>120</v>
      </c>
      <c r="AR261" t="str">
        <v>SI</v>
      </c>
    </row>
    <row r="262" spans="1:44">
      <c r="A262" s="2">
        <v>261</v>
      </c>
      <c r="B262" t="s">
        <v>18</v>
      </c>
      <c r="C262" t="s">
        <v>17</v>
      </c>
      <c r="D262" t="s">
        <v>15</v>
      </c>
      <c r="E262" s="3">
        <v>350</v>
      </c>
      <c r="F262" s="4">
        <v>44411</v>
      </c>
      <c r="G262" s="2" t="s">
        <v>12</v>
      </c>
      <c r="N262">
        <v>583</v>
      </c>
      <c r="O262" t="str">
        <v>PROGRAMA</v>
      </c>
      <c r="P262" t="str">
        <v>CLIENTE-0008</v>
      </c>
      <c r="Q262" t="str">
        <v>ALICANTE</v>
      </c>
      <c r="R262" s="10">
        <v>300</v>
      </c>
      <c r="S262">
        <v>44371</v>
      </c>
      <c r="T262" t="str">
        <v>SI</v>
      </c>
      <c r="V262">
        <v>640</v>
      </c>
      <c r="W262" t="str">
        <v>PROYECTO</v>
      </c>
      <c r="X262" t="str">
        <v>CLIENTE-0010</v>
      </c>
      <c r="Y262" t="str">
        <v>MADRID</v>
      </c>
      <c r="Z262">
        <v>500</v>
      </c>
      <c r="AA262">
        <v>44251</v>
      </c>
      <c r="AB262" t="str">
        <v>SI</v>
      </c>
      <c r="AN262">
        <v>260</v>
      </c>
      <c r="AO262" t="str">
        <v>EQUIPOS</v>
      </c>
      <c r="AP262" t="str">
        <v>CLIENTE-0005</v>
      </c>
      <c r="AQ262">
        <v>300</v>
      </c>
      <c r="AR262" t="str">
        <v>SI</v>
      </c>
    </row>
    <row r="263" spans="1:44">
      <c r="A263" s="2">
        <v>262</v>
      </c>
      <c r="B263" t="s">
        <v>20</v>
      </c>
      <c r="C263" t="s">
        <v>19</v>
      </c>
      <c r="D263" t="s">
        <v>15</v>
      </c>
      <c r="E263" s="3">
        <v>300</v>
      </c>
      <c r="F263" s="4">
        <v>43534</v>
      </c>
      <c r="G263" s="2" t="s">
        <v>12</v>
      </c>
      <c r="N263">
        <v>587</v>
      </c>
      <c r="O263" t="str">
        <v>PROYECTO</v>
      </c>
      <c r="P263" t="str">
        <v>CLIENTE-0005</v>
      </c>
      <c r="Q263" t="str">
        <v>BARCELONA</v>
      </c>
      <c r="R263" s="10">
        <v>300</v>
      </c>
      <c r="S263">
        <v>43893</v>
      </c>
      <c r="T263" t="str">
        <v>SI</v>
      </c>
      <c r="V263">
        <v>641</v>
      </c>
      <c r="W263" t="str">
        <v>EQUIPOS</v>
      </c>
      <c r="X263" t="str">
        <v>CLIENTE-0001</v>
      </c>
      <c r="Y263" t="str">
        <v>MADRID</v>
      </c>
      <c r="Z263">
        <v>750</v>
      </c>
      <c r="AA263">
        <v>44433</v>
      </c>
      <c r="AB263" t="str">
        <v>SI</v>
      </c>
      <c r="AN263">
        <v>261</v>
      </c>
      <c r="AO263" t="str">
        <v>PROGRAMA</v>
      </c>
      <c r="AP263" t="str">
        <v>CLIENTE-0006</v>
      </c>
      <c r="AQ263">
        <v>350</v>
      </c>
      <c r="AR263" t="str">
        <v>SI</v>
      </c>
    </row>
    <row r="264" spans="1:44">
      <c r="A264" s="2">
        <v>263</v>
      </c>
      <c r="B264" t="s">
        <v>22</v>
      </c>
      <c r="C264" t="s">
        <v>23</v>
      </c>
      <c r="D264" t="s">
        <v>24</v>
      </c>
      <c r="E264" s="3">
        <v>120</v>
      </c>
      <c r="F264" s="4">
        <v>43886</v>
      </c>
      <c r="G264" s="2" t="s">
        <v>12</v>
      </c>
      <c r="N264">
        <v>589</v>
      </c>
      <c r="O264" t="str">
        <v>PROGRAMA</v>
      </c>
      <c r="P264" t="str">
        <v>CLIENTE-0006</v>
      </c>
      <c r="Q264" t="str">
        <v>BARCELONA</v>
      </c>
      <c r="R264" s="10">
        <v>300</v>
      </c>
      <c r="S264">
        <v>44442</v>
      </c>
      <c r="T264" t="str">
        <v>SI</v>
      </c>
      <c r="V264">
        <v>643</v>
      </c>
      <c r="W264" t="str">
        <v>FORMACION</v>
      </c>
      <c r="X264" t="str">
        <v>CLIENTE-0003</v>
      </c>
      <c r="Y264" t="str">
        <v>MADRID</v>
      </c>
      <c r="Z264">
        <v>680</v>
      </c>
      <c r="AA264">
        <v>43861</v>
      </c>
      <c r="AB264" t="str">
        <v>SI</v>
      </c>
      <c r="AN264">
        <v>262</v>
      </c>
      <c r="AO264" t="str">
        <v>FORMACION</v>
      </c>
      <c r="AP264" t="str">
        <v>CLIENTE-0007</v>
      </c>
      <c r="AQ264">
        <v>300</v>
      </c>
      <c r="AR264" t="str">
        <v>SI</v>
      </c>
    </row>
    <row r="265" spans="1:44">
      <c r="A265" s="2">
        <v>264</v>
      </c>
      <c r="B265" t="s">
        <v>10</v>
      </c>
      <c r="C265" t="s">
        <v>25</v>
      </c>
      <c r="D265" t="s">
        <v>24</v>
      </c>
      <c r="E265" s="3">
        <v>150</v>
      </c>
      <c r="F265" s="4">
        <v>44317</v>
      </c>
      <c r="G265" s="2" t="s">
        <v>12</v>
      </c>
      <c r="N265">
        <v>606</v>
      </c>
      <c r="O265" t="str">
        <v>PROYECTO</v>
      </c>
      <c r="P265" t="str">
        <v>CLIENTE-0004</v>
      </c>
      <c r="Q265" t="str">
        <v>MADRID</v>
      </c>
      <c r="R265" s="10">
        <v>300</v>
      </c>
      <c r="S265">
        <v>43592</v>
      </c>
      <c r="T265" t="str">
        <v>NO</v>
      </c>
      <c r="V265">
        <v>644</v>
      </c>
      <c r="W265" t="str">
        <v>CONSULTORIA</v>
      </c>
      <c r="X265" t="str">
        <v>CLIENTE-0004</v>
      </c>
      <c r="Y265" t="str">
        <v>MADRID</v>
      </c>
      <c r="Z265">
        <v>950</v>
      </c>
      <c r="AA265">
        <v>44320</v>
      </c>
      <c r="AB265" t="str">
        <v>NO</v>
      </c>
      <c r="AN265">
        <v>263</v>
      </c>
      <c r="AO265" t="str">
        <v>CONSULTORIA</v>
      </c>
      <c r="AP265" t="str">
        <v>CLIENTE-0008</v>
      </c>
      <c r="AQ265">
        <v>120</v>
      </c>
      <c r="AR265" t="str">
        <v>SI</v>
      </c>
    </row>
    <row r="266" spans="1:44">
      <c r="A266" s="2">
        <v>265</v>
      </c>
      <c r="B266" t="s">
        <v>10</v>
      </c>
      <c r="C266" t="s">
        <v>26</v>
      </c>
      <c r="D266" t="s">
        <v>9</v>
      </c>
      <c r="E266" s="3">
        <v>1200</v>
      </c>
      <c r="F266" s="4">
        <v>44483</v>
      </c>
      <c r="G266" s="2" t="s">
        <v>12</v>
      </c>
      <c r="N266">
        <v>610</v>
      </c>
      <c r="O266" t="str">
        <v>CONSULTORIA</v>
      </c>
      <c r="P266" t="str">
        <v>CLIENTE-0003</v>
      </c>
      <c r="Q266" t="str">
        <v>MADRID</v>
      </c>
      <c r="R266" s="10">
        <v>300</v>
      </c>
      <c r="S266">
        <v>43872</v>
      </c>
      <c r="T266" t="str">
        <v>SI</v>
      </c>
      <c r="V266">
        <v>650</v>
      </c>
      <c r="W266" t="str">
        <v>PROYECTO</v>
      </c>
      <c r="X266" t="str">
        <v>CLIENTE-0010</v>
      </c>
      <c r="Y266" t="str">
        <v>MADRID</v>
      </c>
      <c r="Z266">
        <v>300</v>
      </c>
      <c r="AA266">
        <v>43640</v>
      </c>
      <c r="AB266" t="str">
        <v>NO</v>
      </c>
      <c r="AN266">
        <v>264</v>
      </c>
      <c r="AO266" t="str">
        <v>DESARROLLO</v>
      </c>
      <c r="AP266" t="str">
        <v>CLIENTE-0009</v>
      </c>
      <c r="AQ266">
        <v>150</v>
      </c>
      <c r="AR266" t="str">
        <v>SI</v>
      </c>
    </row>
    <row r="267" spans="1:44">
      <c r="A267" s="2">
        <v>266</v>
      </c>
      <c r="B267" t="s">
        <v>13</v>
      </c>
      <c r="C267" t="s">
        <v>11</v>
      </c>
      <c r="D267" t="s">
        <v>9</v>
      </c>
      <c r="E267" s="3">
        <v>800</v>
      </c>
      <c r="F267" s="4">
        <v>43608</v>
      </c>
      <c r="G267" s="2" t="s">
        <v>12</v>
      </c>
      <c r="N267">
        <v>612</v>
      </c>
      <c r="O267" t="str">
        <v>PROYECTO</v>
      </c>
      <c r="P267" t="str">
        <v>CLIENTE-0005</v>
      </c>
      <c r="Q267" t="str">
        <v>BARCELONA</v>
      </c>
      <c r="R267" s="10">
        <v>300</v>
      </c>
      <c r="S267">
        <v>44184</v>
      </c>
      <c r="T267" t="str">
        <v>SI</v>
      </c>
      <c r="V267">
        <v>651</v>
      </c>
      <c r="W267" t="str">
        <v>EQUIPOS</v>
      </c>
      <c r="X267" t="str">
        <v>CLIENTE-0004</v>
      </c>
      <c r="Y267" t="str">
        <v>MADRID</v>
      </c>
      <c r="Z267">
        <v>200</v>
      </c>
      <c r="AA267">
        <v>43616</v>
      </c>
      <c r="AB267" t="str">
        <v>SI</v>
      </c>
      <c r="AN267">
        <v>265</v>
      </c>
      <c r="AO267" t="str">
        <v>DESARROLLO</v>
      </c>
      <c r="AP267" t="str">
        <v>CLIENTE-0010</v>
      </c>
      <c r="AQ267">
        <v>1200</v>
      </c>
      <c r="AR267" t="str">
        <v>SI</v>
      </c>
    </row>
    <row r="268" spans="1:44">
      <c r="A268" s="2">
        <v>267</v>
      </c>
      <c r="B268" t="s">
        <v>16</v>
      </c>
      <c r="C268" t="s">
        <v>26</v>
      </c>
      <c r="D268" t="s">
        <v>9</v>
      </c>
      <c r="E268" s="3">
        <v>750</v>
      </c>
      <c r="F268" s="4">
        <v>43570</v>
      </c>
      <c r="G268" s="2" t="s">
        <v>12</v>
      </c>
      <c r="N268">
        <v>617</v>
      </c>
      <c r="O268" t="str">
        <v>EQUIPOS</v>
      </c>
      <c r="P268" t="str">
        <v>CLIENTE-0009</v>
      </c>
      <c r="Q268" t="str">
        <v>ALICANTE</v>
      </c>
      <c r="R268" s="10">
        <v>300</v>
      </c>
      <c r="S268">
        <v>44012</v>
      </c>
      <c r="T268" t="str">
        <v>NO</v>
      </c>
      <c r="V268">
        <v>652</v>
      </c>
      <c r="W268" t="str">
        <v>PROGRAMA</v>
      </c>
      <c r="X268" t="str">
        <v>CLIENTE-0010</v>
      </c>
      <c r="Y268" t="str">
        <v>MADRID</v>
      </c>
      <c r="Z268">
        <v>150</v>
      </c>
      <c r="AA268">
        <v>43789</v>
      </c>
      <c r="AB268" t="str">
        <v>SI</v>
      </c>
      <c r="AN268">
        <v>266</v>
      </c>
      <c r="AO268" t="str">
        <v>PROYECTO</v>
      </c>
      <c r="AP268" t="str">
        <v>CLIENTE-0004</v>
      </c>
      <c r="AQ268">
        <v>800</v>
      </c>
      <c r="AR268" t="str">
        <v>SI</v>
      </c>
    </row>
    <row r="269" spans="1:44">
      <c r="A269" s="2">
        <v>268</v>
      </c>
      <c r="B269" t="s">
        <v>18</v>
      </c>
      <c r="C269" t="s">
        <v>27</v>
      </c>
      <c r="D269" t="s">
        <v>9</v>
      </c>
      <c r="E269" s="3">
        <v>4500</v>
      </c>
      <c r="F269" s="4">
        <v>44506</v>
      </c>
      <c r="G269" s="2" t="s">
        <v>12</v>
      </c>
      <c r="N269">
        <v>621</v>
      </c>
      <c r="O269" t="str">
        <v>DESARROLLO</v>
      </c>
      <c r="P269" t="str">
        <v>CLIENTE-0001</v>
      </c>
      <c r="Q269" t="str">
        <v>MADRID</v>
      </c>
      <c r="R269" s="10">
        <v>300</v>
      </c>
      <c r="S269">
        <v>43604</v>
      </c>
      <c r="T269" t="str">
        <v>NO</v>
      </c>
      <c r="V269">
        <v>653</v>
      </c>
      <c r="W269" t="str">
        <v>FORMACION</v>
      </c>
      <c r="X269" t="str">
        <v>CLIENTE-0001</v>
      </c>
      <c r="Y269" t="str">
        <v>MADRID</v>
      </c>
      <c r="Z269">
        <v>120</v>
      </c>
      <c r="AA269">
        <v>44334</v>
      </c>
      <c r="AB269" t="str">
        <v>SI</v>
      </c>
      <c r="AN269">
        <v>267</v>
      </c>
      <c r="AO269" t="str">
        <v>EQUIPOS</v>
      </c>
      <c r="AP269" t="str">
        <v>CLIENTE-0010</v>
      </c>
      <c r="AQ269">
        <v>750</v>
      </c>
      <c r="AR269" t="str">
        <v>SI</v>
      </c>
    </row>
    <row r="270" spans="1:44">
      <c r="A270" s="2">
        <v>269</v>
      </c>
      <c r="B270" t="s">
        <v>20</v>
      </c>
      <c r="C270" t="s">
        <v>26</v>
      </c>
      <c r="D270" t="s">
        <v>9</v>
      </c>
      <c r="E270" s="3">
        <v>500</v>
      </c>
      <c r="F270" s="4">
        <v>43930</v>
      </c>
      <c r="G270" s="2" t="s">
        <v>12</v>
      </c>
      <c r="N270">
        <v>623</v>
      </c>
      <c r="O270" t="str">
        <v>EQUIPOS</v>
      </c>
      <c r="P270" t="str">
        <v>CLIENTE-0003</v>
      </c>
      <c r="Q270" t="str">
        <v>MADRID</v>
      </c>
      <c r="R270" s="10">
        <v>300</v>
      </c>
      <c r="S270">
        <v>44210</v>
      </c>
      <c r="T270" t="str">
        <v>SI</v>
      </c>
      <c r="V270">
        <v>654</v>
      </c>
      <c r="W270" t="str">
        <v>CONSULTORIA</v>
      </c>
      <c r="X270" t="str">
        <v>CLIENTE-0010</v>
      </c>
      <c r="Y270" t="str">
        <v>MADRID</v>
      </c>
      <c r="Z270">
        <v>300</v>
      </c>
      <c r="AA270">
        <v>44224</v>
      </c>
      <c r="AB270" t="str">
        <v>SI</v>
      </c>
      <c r="AN270">
        <v>268</v>
      </c>
      <c r="AO270" t="str">
        <v>PROGRAMA</v>
      </c>
      <c r="AP270" t="str">
        <v>CLIENTE-0001</v>
      </c>
      <c r="AQ270">
        <v>4500</v>
      </c>
      <c r="AR270" t="str">
        <v>SI</v>
      </c>
    </row>
    <row r="271" spans="1:44">
      <c r="A271" s="2">
        <v>270</v>
      </c>
      <c r="B271" t="s">
        <v>22</v>
      </c>
      <c r="C271" t="s">
        <v>27</v>
      </c>
      <c r="D271" t="s">
        <v>9</v>
      </c>
      <c r="E271" s="3">
        <v>750</v>
      </c>
      <c r="F271" s="4">
        <v>44428</v>
      </c>
      <c r="G271" s="2" t="s">
        <v>12</v>
      </c>
      <c r="N271">
        <v>650</v>
      </c>
      <c r="O271" t="str">
        <v>PROYECTO</v>
      </c>
      <c r="P271" t="str">
        <v>CLIENTE-0010</v>
      </c>
      <c r="Q271" t="str">
        <v>MADRID</v>
      </c>
      <c r="R271" s="10">
        <v>300</v>
      </c>
      <c r="S271">
        <v>43640</v>
      </c>
      <c r="T271" t="str">
        <v>NO</v>
      </c>
      <c r="V271">
        <v>655</v>
      </c>
      <c r="W271" t="str">
        <v>DESARROLLO</v>
      </c>
      <c r="X271" t="str">
        <v>CLIENTE-0001</v>
      </c>
      <c r="Y271" t="str">
        <v>MADRID</v>
      </c>
      <c r="Z271">
        <v>350</v>
      </c>
      <c r="AA271">
        <v>43961</v>
      </c>
      <c r="AB271" t="str">
        <v>SI</v>
      </c>
      <c r="AN271">
        <v>269</v>
      </c>
      <c r="AO271" t="str">
        <v>FORMACION</v>
      </c>
      <c r="AP271" t="str">
        <v>CLIENTE-0010</v>
      </c>
      <c r="AQ271">
        <v>500</v>
      </c>
      <c r="AR271" t="str">
        <v>SI</v>
      </c>
    </row>
    <row r="272" spans="1:44">
      <c r="A272" s="2">
        <v>271</v>
      </c>
      <c r="B272" t="s">
        <v>10</v>
      </c>
      <c r="C272" t="s">
        <v>29</v>
      </c>
      <c r="D272" t="s">
        <v>24</v>
      </c>
      <c r="E272" s="3">
        <v>950</v>
      </c>
      <c r="F272" s="4">
        <v>44519</v>
      </c>
      <c r="G272" s="2" t="s">
        <v>12</v>
      </c>
      <c r="N272">
        <v>654</v>
      </c>
      <c r="O272" t="str">
        <v>CONSULTORIA</v>
      </c>
      <c r="P272" t="str">
        <v>CLIENTE-0010</v>
      </c>
      <c r="Q272" t="str">
        <v>MADRID</v>
      </c>
      <c r="R272" s="10">
        <v>300</v>
      </c>
      <c r="S272">
        <v>44224</v>
      </c>
      <c r="T272" t="str">
        <v>SI</v>
      </c>
      <c r="V272">
        <v>657</v>
      </c>
      <c r="W272" t="str">
        <v>EQUIPOS</v>
      </c>
      <c r="X272" t="str">
        <v>CLIENTE-0010</v>
      </c>
      <c r="Y272" t="str">
        <v>MADRID</v>
      </c>
      <c r="Z272">
        <v>120</v>
      </c>
      <c r="AA272">
        <v>44049</v>
      </c>
      <c r="AB272" t="str">
        <v>SI</v>
      </c>
      <c r="AN272">
        <v>270</v>
      </c>
      <c r="AO272" t="str">
        <v>CONSULTORIA</v>
      </c>
      <c r="AP272" t="str">
        <v>CLIENTE-0001</v>
      </c>
      <c r="AQ272">
        <v>750</v>
      </c>
      <c r="AR272" t="str">
        <v>SI</v>
      </c>
    </row>
    <row r="273" spans="1:44">
      <c r="A273" s="2">
        <v>272</v>
      </c>
      <c r="B273" t="s">
        <v>13</v>
      </c>
      <c r="C273" t="s">
        <v>21</v>
      </c>
      <c r="D273" t="s">
        <v>9</v>
      </c>
      <c r="E273" s="3">
        <v>680</v>
      </c>
      <c r="F273" s="4">
        <v>44036</v>
      </c>
      <c r="G273" s="2" t="s">
        <v>12</v>
      </c>
      <c r="N273">
        <v>656</v>
      </c>
      <c r="O273" t="str">
        <v>PROYECTO</v>
      </c>
      <c r="P273" t="str">
        <v>CLIENTE-0002</v>
      </c>
      <c r="Q273" t="str">
        <v>ALICANTE</v>
      </c>
      <c r="R273" s="10">
        <v>300</v>
      </c>
      <c r="S273">
        <v>43947</v>
      </c>
      <c r="T273" t="str">
        <v>SI</v>
      </c>
      <c r="V273">
        <v>658</v>
      </c>
      <c r="W273" t="str">
        <v>PROGRAMA</v>
      </c>
      <c r="X273" t="str">
        <v>CLIENTE-0004</v>
      </c>
      <c r="Y273" t="str">
        <v>MADRID</v>
      </c>
      <c r="Z273">
        <v>150</v>
      </c>
      <c r="AA273">
        <v>43830</v>
      </c>
      <c r="AB273" t="str">
        <v>SI</v>
      </c>
      <c r="AN273">
        <v>271</v>
      </c>
      <c r="AO273" t="str">
        <v>DESARROLLO</v>
      </c>
      <c r="AP273" t="str">
        <v>CLIENTE-0002</v>
      </c>
      <c r="AQ273">
        <v>950</v>
      </c>
      <c r="AR273" t="str">
        <v>SI</v>
      </c>
    </row>
    <row r="274" spans="1:44">
      <c r="A274" s="2">
        <v>273</v>
      </c>
      <c r="B274" t="s">
        <v>16</v>
      </c>
      <c r="C274" t="s">
        <v>11</v>
      </c>
      <c r="D274" t="s">
        <v>9</v>
      </c>
      <c r="E274" s="3">
        <v>950</v>
      </c>
      <c r="F274" s="4">
        <v>43728</v>
      </c>
      <c r="G274" s="2" t="s">
        <v>12</v>
      </c>
      <c r="N274">
        <v>661</v>
      </c>
      <c r="O274" t="str">
        <v>DESARROLLO</v>
      </c>
      <c r="P274" t="str">
        <v>CLIENTE-0006</v>
      </c>
      <c r="Q274" t="str">
        <v>BARCELONA</v>
      </c>
      <c r="R274" s="10">
        <v>300</v>
      </c>
      <c r="S274">
        <v>43835</v>
      </c>
      <c r="T274" t="str">
        <v>SI</v>
      </c>
      <c r="V274">
        <v>665</v>
      </c>
      <c r="W274" t="str">
        <v>FORMACION</v>
      </c>
      <c r="X274" t="str">
        <v>CLIENTE-0010</v>
      </c>
      <c r="Y274" t="str">
        <v>MADRID</v>
      </c>
      <c r="Z274">
        <v>300</v>
      </c>
      <c r="AA274">
        <v>44075</v>
      </c>
      <c r="AB274" t="str">
        <v>SI</v>
      </c>
      <c r="AN274">
        <v>272</v>
      </c>
      <c r="AO274" t="str">
        <v>PROYECTO</v>
      </c>
      <c r="AP274" t="str">
        <v>CLIENTE-0003</v>
      </c>
      <c r="AQ274">
        <v>680</v>
      </c>
      <c r="AR274" t="str">
        <v>SI</v>
      </c>
    </row>
    <row r="275" spans="1:44">
      <c r="A275" s="2">
        <v>274</v>
      </c>
      <c r="B275" t="s">
        <v>18</v>
      </c>
      <c r="C275" t="s">
        <v>14</v>
      </c>
      <c r="D275" t="s">
        <v>15</v>
      </c>
      <c r="E275" s="3">
        <v>1500</v>
      </c>
      <c r="F275" s="4">
        <v>44545</v>
      </c>
      <c r="G275" s="2" t="s">
        <v>12</v>
      </c>
      <c r="N275">
        <v>665</v>
      </c>
      <c r="O275" t="str">
        <v>FORMACION</v>
      </c>
      <c r="P275" t="str">
        <v>CLIENTE-0010</v>
      </c>
      <c r="Q275" t="str">
        <v>MADRID</v>
      </c>
      <c r="R275" s="10">
        <v>300</v>
      </c>
      <c r="S275">
        <v>44075</v>
      </c>
      <c r="T275" t="str">
        <v>SI</v>
      </c>
      <c r="V275">
        <v>666</v>
      </c>
      <c r="W275" t="str">
        <v>CONSULTORIA</v>
      </c>
      <c r="X275" t="str">
        <v>CLIENTE-0001</v>
      </c>
      <c r="Y275" t="str">
        <v>MADRID</v>
      </c>
      <c r="Z275">
        <v>350</v>
      </c>
      <c r="AA275">
        <v>44257</v>
      </c>
      <c r="AB275" t="str">
        <v>SI</v>
      </c>
      <c r="AN275">
        <v>273</v>
      </c>
      <c r="AO275" t="str">
        <v>EQUIPOS</v>
      </c>
      <c r="AP275" t="str">
        <v>CLIENTE-0004</v>
      </c>
      <c r="AQ275">
        <v>950</v>
      </c>
      <c r="AR275" t="str">
        <v>SI</v>
      </c>
    </row>
    <row r="276" spans="1:44">
      <c r="A276" s="2">
        <v>275</v>
      </c>
      <c r="B276" t="s">
        <v>20</v>
      </c>
      <c r="C276" t="s">
        <v>17</v>
      </c>
      <c r="D276" t="s">
        <v>15</v>
      </c>
      <c r="E276" s="3">
        <v>5000</v>
      </c>
      <c r="F276" s="4">
        <v>43578</v>
      </c>
      <c r="G276" s="2" t="s">
        <v>12</v>
      </c>
      <c r="N276">
        <v>669</v>
      </c>
      <c r="O276" t="str">
        <v>PROGRAMA</v>
      </c>
      <c r="P276" t="str">
        <v>CLIENTE-0002</v>
      </c>
      <c r="Q276" t="str">
        <v>ALICANTE</v>
      </c>
      <c r="R276" s="10">
        <v>300</v>
      </c>
      <c r="S276">
        <v>43661</v>
      </c>
      <c r="T276" t="str">
        <v>SI</v>
      </c>
      <c r="V276">
        <v>667</v>
      </c>
      <c r="W276" t="str">
        <v>DESARROLLO</v>
      </c>
      <c r="X276" t="str">
        <v>CLIENTE-0010</v>
      </c>
      <c r="Y276" t="str">
        <v>MADRID</v>
      </c>
      <c r="Z276">
        <v>8500</v>
      </c>
      <c r="AA276">
        <v>44112</v>
      </c>
      <c r="AB276" t="str">
        <v>SI</v>
      </c>
      <c r="AN276">
        <v>274</v>
      </c>
      <c r="AO276" t="str">
        <v>PROGRAMA</v>
      </c>
      <c r="AP276" t="str">
        <v>CLIENTE-0005</v>
      </c>
      <c r="AQ276">
        <v>1500</v>
      </c>
      <c r="AR276" t="str">
        <v>SI</v>
      </c>
    </row>
    <row r="277" spans="1:44">
      <c r="A277" s="2">
        <v>276</v>
      </c>
      <c r="B277" t="s">
        <v>22</v>
      </c>
      <c r="C277" t="s">
        <v>19</v>
      </c>
      <c r="D277" t="s">
        <v>15</v>
      </c>
      <c r="E277" s="3">
        <v>6500</v>
      </c>
      <c r="F277" s="4">
        <v>44468</v>
      </c>
      <c r="G277" s="2" t="s">
        <v>12</v>
      </c>
      <c r="N277">
        <v>673</v>
      </c>
      <c r="O277" t="str">
        <v>CONSULTORIA</v>
      </c>
      <c r="P277" t="str">
        <v>CLIENTE-0006</v>
      </c>
      <c r="Q277" t="str">
        <v>BARCELONA</v>
      </c>
      <c r="R277" s="10">
        <v>300</v>
      </c>
      <c r="S277">
        <v>43918</v>
      </c>
      <c r="T277" t="str">
        <v>NO</v>
      </c>
      <c r="V277">
        <v>668</v>
      </c>
      <c r="W277" t="str">
        <v>EQUIPOS</v>
      </c>
      <c r="X277" t="str">
        <v>CLIENTE-0001</v>
      </c>
      <c r="Y277" t="str">
        <v>MADRID</v>
      </c>
      <c r="Z277">
        <v>1200</v>
      </c>
      <c r="AA277">
        <v>43517</v>
      </c>
      <c r="AB277" t="str">
        <v>SI</v>
      </c>
      <c r="AN277">
        <v>275</v>
      </c>
      <c r="AO277" t="str">
        <v>FORMACION</v>
      </c>
      <c r="AP277" t="str">
        <v>CLIENTE-0006</v>
      </c>
      <c r="AQ277">
        <v>5000</v>
      </c>
      <c r="AR277" t="str">
        <v>SI</v>
      </c>
    </row>
    <row r="278" spans="1:44">
      <c r="A278" s="2">
        <v>277</v>
      </c>
      <c r="B278" t="s">
        <v>10</v>
      </c>
      <c r="C278" t="s">
        <v>23</v>
      </c>
      <c r="D278" t="s">
        <v>24</v>
      </c>
      <c r="E278" s="3">
        <v>4500</v>
      </c>
      <c r="F278" s="4">
        <v>43824</v>
      </c>
      <c r="G278" s="2" t="s">
        <v>28</v>
      </c>
      <c r="N278">
        <v>675</v>
      </c>
      <c r="O278" t="str">
        <v>PROYECTO</v>
      </c>
      <c r="P278" t="str">
        <v>CLIENTE-0008</v>
      </c>
      <c r="Q278" t="str">
        <v>ALICANTE</v>
      </c>
      <c r="R278" s="10">
        <v>300</v>
      </c>
      <c r="S278">
        <v>43813</v>
      </c>
      <c r="T278" t="str">
        <v>NO</v>
      </c>
      <c r="V278">
        <v>670</v>
      </c>
      <c r="W278" t="str">
        <v>EQUIPOS</v>
      </c>
      <c r="X278" t="str">
        <v>CLIENTE-0003</v>
      </c>
      <c r="Y278" t="str">
        <v>MADRID</v>
      </c>
      <c r="Z278">
        <v>200</v>
      </c>
      <c r="AA278">
        <v>43646</v>
      </c>
      <c r="AB278" t="str">
        <v>SI</v>
      </c>
      <c r="AN278">
        <v>276</v>
      </c>
      <c r="AO278" t="str">
        <v>CONSULTORIA</v>
      </c>
      <c r="AP278" t="str">
        <v>CLIENTE-0007</v>
      </c>
      <c r="AQ278">
        <v>6500</v>
      </c>
      <c r="AR278" t="str">
        <v>SI</v>
      </c>
    </row>
    <row r="279" spans="1:44">
      <c r="A279" s="2">
        <v>278</v>
      </c>
      <c r="B279" t="s">
        <v>13</v>
      </c>
      <c r="C279" t="s">
        <v>25</v>
      </c>
      <c r="D279" t="s">
        <v>24</v>
      </c>
      <c r="E279" s="3">
        <v>500</v>
      </c>
      <c r="F279" s="4">
        <v>43811</v>
      </c>
      <c r="G279" s="2" t="s">
        <v>28</v>
      </c>
      <c r="N279">
        <v>692</v>
      </c>
      <c r="O279" t="str">
        <v>EQUIPOS</v>
      </c>
      <c r="P279" t="str">
        <v>CLIENTE-0010</v>
      </c>
      <c r="Q279" t="str">
        <v>MADRID</v>
      </c>
      <c r="R279" s="10">
        <v>300</v>
      </c>
      <c r="S279">
        <v>43485</v>
      </c>
      <c r="T279" t="str">
        <v>SI</v>
      </c>
      <c r="V279">
        <v>671</v>
      </c>
      <c r="W279" t="str">
        <v>PROGRAMA</v>
      </c>
      <c r="X279" t="str">
        <v>CLIENTE-0004</v>
      </c>
      <c r="Y279" t="str">
        <v>MADRID</v>
      </c>
      <c r="Z279">
        <v>150</v>
      </c>
      <c r="AA279">
        <v>44376</v>
      </c>
      <c r="AB279" t="str">
        <v>NO</v>
      </c>
      <c r="AN279">
        <v>277</v>
      </c>
      <c r="AO279" t="str">
        <v>DESARROLLO</v>
      </c>
      <c r="AP279" t="str">
        <v>CLIENTE-0008</v>
      </c>
      <c r="AQ279">
        <v>4500</v>
      </c>
      <c r="AR279" t="str">
        <v>NO</v>
      </c>
    </row>
    <row r="280" spans="1:44">
      <c r="A280" s="2">
        <v>279</v>
      </c>
      <c r="B280" t="s">
        <v>16</v>
      </c>
      <c r="C280" t="s">
        <v>26</v>
      </c>
      <c r="D280" t="s">
        <v>9</v>
      </c>
      <c r="E280" s="3">
        <v>750</v>
      </c>
      <c r="F280" s="4">
        <v>44409</v>
      </c>
      <c r="G280" s="2" t="s">
        <v>28</v>
      </c>
      <c r="N280">
        <v>696</v>
      </c>
      <c r="O280" t="str">
        <v>DESARROLLO</v>
      </c>
      <c r="P280" t="str">
        <v>CLIENTE-0004</v>
      </c>
      <c r="Q280" t="str">
        <v>MADRID</v>
      </c>
      <c r="R280" s="10">
        <v>300</v>
      </c>
      <c r="S280">
        <v>43820</v>
      </c>
      <c r="T280" t="str">
        <v>SI</v>
      </c>
      <c r="V280">
        <v>677</v>
      </c>
      <c r="W280" t="str">
        <v>CONSULTORIA</v>
      </c>
      <c r="X280" t="str">
        <v>CLIENTE-0010</v>
      </c>
      <c r="Y280" t="str">
        <v>MADRID</v>
      </c>
      <c r="Z280">
        <v>150</v>
      </c>
      <c r="AA280">
        <v>43742</v>
      </c>
      <c r="AB280" t="str">
        <v>NO</v>
      </c>
      <c r="AN280">
        <v>278</v>
      </c>
      <c r="AO280" t="str">
        <v>PROYECTO</v>
      </c>
      <c r="AP280" t="str">
        <v>CLIENTE-0009</v>
      </c>
      <c r="AQ280">
        <v>500</v>
      </c>
      <c r="AR280" t="str">
        <v>NO</v>
      </c>
    </row>
    <row r="281" spans="1:44">
      <c r="A281" s="2">
        <v>280</v>
      </c>
      <c r="B281" t="s">
        <v>22</v>
      </c>
      <c r="C281" t="s">
        <v>11</v>
      </c>
      <c r="D281" t="s">
        <v>9</v>
      </c>
      <c r="E281" s="3">
        <v>950</v>
      </c>
      <c r="F281" s="4">
        <v>44317</v>
      </c>
      <c r="G281" s="2" t="s">
        <v>28</v>
      </c>
      <c r="N281">
        <v>698</v>
      </c>
      <c r="O281" t="str">
        <v>EQUIPOS</v>
      </c>
      <c r="P281" t="str">
        <v>CLIENTE-0006</v>
      </c>
      <c r="Q281" t="str">
        <v>BARCELONA</v>
      </c>
      <c r="R281" s="10">
        <v>300</v>
      </c>
      <c r="S281">
        <v>44398</v>
      </c>
      <c r="T281" t="str">
        <v>SI</v>
      </c>
      <c r="V281">
        <v>678</v>
      </c>
      <c r="W281" t="str">
        <v>DESARROLLO</v>
      </c>
      <c r="X281" t="str">
        <v>CLIENTE-0004</v>
      </c>
      <c r="Y281" t="str">
        <v>MADRID</v>
      </c>
      <c r="Z281">
        <v>1200</v>
      </c>
      <c r="AA281">
        <v>43468</v>
      </c>
      <c r="AB281" t="str">
        <v>SI</v>
      </c>
      <c r="AN281">
        <v>279</v>
      </c>
      <c r="AO281" t="str">
        <v>EQUIPOS</v>
      </c>
      <c r="AP281" t="str">
        <v>CLIENTE-0010</v>
      </c>
      <c r="AQ281">
        <v>750</v>
      </c>
      <c r="AR281" t="str">
        <v>NO</v>
      </c>
    </row>
    <row r="282" spans="1:44">
      <c r="A282" s="2">
        <v>281</v>
      </c>
      <c r="B282" t="s">
        <v>10</v>
      </c>
      <c r="C282" t="s">
        <v>14</v>
      </c>
      <c r="D282" t="s">
        <v>15</v>
      </c>
      <c r="E282" s="3">
        <v>680</v>
      </c>
      <c r="F282" s="4">
        <v>43921</v>
      </c>
      <c r="G282" s="2" t="s">
        <v>28</v>
      </c>
      <c r="N282">
        <v>703</v>
      </c>
      <c r="O282" t="str">
        <v>PROYECTO</v>
      </c>
      <c r="P282" t="str">
        <v>CLIENTE-0004</v>
      </c>
      <c r="Q282" t="str">
        <v>MADRID</v>
      </c>
      <c r="R282" s="10">
        <v>300</v>
      </c>
      <c r="S282">
        <v>44029</v>
      </c>
      <c r="T282" t="str">
        <v>NO</v>
      </c>
      <c r="V282">
        <v>682</v>
      </c>
      <c r="W282" t="str">
        <v>FORMACION</v>
      </c>
      <c r="X282" t="str">
        <v>CLIENTE-0003</v>
      </c>
      <c r="Y282" t="str">
        <v>MADRID</v>
      </c>
      <c r="Z282">
        <v>500</v>
      </c>
      <c r="AA282">
        <v>44079</v>
      </c>
      <c r="AB282" t="str">
        <v>SI</v>
      </c>
      <c r="AN282">
        <v>280</v>
      </c>
      <c r="AO282" t="str">
        <v>CONSULTORIA</v>
      </c>
      <c r="AP282" t="str">
        <v>CLIENTE-0004</v>
      </c>
      <c r="AQ282">
        <v>950</v>
      </c>
      <c r="AR282" t="str">
        <v>NO</v>
      </c>
    </row>
    <row r="283" spans="1:44">
      <c r="A283" s="2">
        <v>282</v>
      </c>
      <c r="B283" t="s">
        <v>13</v>
      </c>
      <c r="C283" t="s">
        <v>14</v>
      </c>
      <c r="D283" t="s">
        <v>15</v>
      </c>
      <c r="E283" s="3">
        <v>950</v>
      </c>
      <c r="F283" s="4">
        <v>44108</v>
      </c>
      <c r="G283" s="2" t="s">
        <v>28</v>
      </c>
      <c r="N283">
        <v>707</v>
      </c>
      <c r="O283" t="str">
        <v>CONSULTORIA</v>
      </c>
      <c r="P283" t="str">
        <v>CLIENTE-0007</v>
      </c>
      <c r="Q283" t="str">
        <v>BARCELONA</v>
      </c>
      <c r="R283" s="10">
        <v>300</v>
      </c>
      <c r="S283">
        <v>44159</v>
      </c>
      <c r="T283" t="str">
        <v>SI</v>
      </c>
      <c r="V283">
        <v>683</v>
      </c>
      <c r="W283" t="str">
        <v>CONSULTORIA</v>
      </c>
      <c r="X283" t="str">
        <v>CLIENTE-0004</v>
      </c>
      <c r="Y283" t="str">
        <v>MADRID</v>
      </c>
      <c r="Z283">
        <v>750</v>
      </c>
      <c r="AA283">
        <v>44470</v>
      </c>
      <c r="AB283" t="str">
        <v>SI</v>
      </c>
      <c r="AN283">
        <v>281</v>
      </c>
      <c r="AO283" t="str">
        <v>DESARROLLO</v>
      </c>
      <c r="AP283" t="str">
        <v>CLIENTE-0005</v>
      </c>
      <c r="AQ283">
        <v>680</v>
      </c>
      <c r="AR283" t="str">
        <v>NO</v>
      </c>
    </row>
    <row r="284" spans="1:44">
      <c r="A284" s="2">
        <v>283</v>
      </c>
      <c r="B284" t="s">
        <v>16</v>
      </c>
      <c r="C284" t="s">
        <v>17</v>
      </c>
      <c r="D284" t="s">
        <v>15</v>
      </c>
      <c r="E284" s="3">
        <v>1500</v>
      </c>
      <c r="F284" s="4">
        <v>43704</v>
      </c>
      <c r="G284" s="2" t="s">
        <v>28</v>
      </c>
      <c r="N284">
        <v>709</v>
      </c>
      <c r="O284" t="str">
        <v>PROYECTO</v>
      </c>
      <c r="P284" t="str">
        <v>CLIENTE-0009</v>
      </c>
      <c r="Q284" t="str">
        <v>ALICANTE</v>
      </c>
      <c r="R284" s="10">
        <v>300</v>
      </c>
      <c r="S284">
        <v>44380</v>
      </c>
      <c r="T284" t="str">
        <v>SI</v>
      </c>
      <c r="V284">
        <v>690</v>
      </c>
      <c r="W284" t="str">
        <v>DESARROLLO</v>
      </c>
      <c r="X284" t="str">
        <v>CLIENTE-0010</v>
      </c>
      <c r="Y284" t="str">
        <v>MADRID</v>
      </c>
      <c r="Z284">
        <v>8500</v>
      </c>
      <c r="AA284">
        <v>43910</v>
      </c>
      <c r="AB284" t="str">
        <v>SI</v>
      </c>
      <c r="AN284">
        <v>282</v>
      </c>
      <c r="AO284" t="str">
        <v>PROYECTO</v>
      </c>
      <c r="AP284" t="str">
        <v>CLIENTE-0005</v>
      </c>
      <c r="AQ284">
        <v>950</v>
      </c>
      <c r="AR284" t="str">
        <v>NO</v>
      </c>
    </row>
    <row r="285" spans="1:44">
      <c r="A285" s="2">
        <v>284</v>
      </c>
      <c r="B285" t="s">
        <v>18</v>
      </c>
      <c r="C285" t="s">
        <v>19</v>
      </c>
      <c r="D285" t="s">
        <v>15</v>
      </c>
      <c r="E285" s="3">
        <v>5000</v>
      </c>
      <c r="F285" s="4">
        <v>43948</v>
      </c>
      <c r="G285" s="2" t="s">
        <v>12</v>
      </c>
      <c r="N285">
        <v>730</v>
      </c>
      <c r="O285" t="str">
        <v>DESARROLLO</v>
      </c>
      <c r="P285" t="str">
        <v>CLIENTE-0006</v>
      </c>
      <c r="Q285" t="str">
        <v>BARCELONA</v>
      </c>
      <c r="R285" s="10">
        <v>300</v>
      </c>
      <c r="S285">
        <v>44208</v>
      </c>
      <c r="T285" t="str">
        <v>SI</v>
      </c>
      <c r="V285">
        <v>691</v>
      </c>
      <c r="W285" t="str">
        <v>PROYECTO</v>
      </c>
      <c r="X285" t="str">
        <v>CLIENTE-0001</v>
      </c>
      <c r="Y285" t="str">
        <v>MADRID</v>
      </c>
      <c r="Z285">
        <v>1200</v>
      </c>
      <c r="AA285">
        <v>44476</v>
      </c>
      <c r="AB285" t="str">
        <v>SI</v>
      </c>
      <c r="AN285">
        <v>283</v>
      </c>
      <c r="AO285" t="str">
        <v>EQUIPOS</v>
      </c>
      <c r="AP285" t="str">
        <v>CLIENTE-0006</v>
      </c>
      <c r="AQ285">
        <v>1500</v>
      </c>
      <c r="AR285" t="str">
        <v>NO</v>
      </c>
    </row>
    <row r="286" spans="1:44">
      <c r="A286" s="2">
        <v>285</v>
      </c>
      <c r="B286" t="s">
        <v>20</v>
      </c>
      <c r="C286" t="s">
        <v>23</v>
      </c>
      <c r="D286" t="s">
        <v>24</v>
      </c>
      <c r="E286" s="3">
        <v>6500</v>
      </c>
      <c r="F286" s="4">
        <v>44235</v>
      </c>
      <c r="G286" s="2" t="s">
        <v>12</v>
      </c>
      <c r="N286">
        <v>734</v>
      </c>
      <c r="O286" t="str">
        <v>PROGRAMA</v>
      </c>
      <c r="P286" t="str">
        <v>CLIENTE-0010</v>
      </c>
      <c r="Q286" t="str">
        <v>MADRID</v>
      </c>
      <c r="R286" s="10">
        <v>300</v>
      </c>
      <c r="S286">
        <v>43867</v>
      </c>
      <c r="T286" t="str">
        <v>SI</v>
      </c>
      <c r="V286">
        <v>692</v>
      </c>
      <c r="W286" t="str">
        <v>EQUIPOS</v>
      </c>
      <c r="X286" t="str">
        <v>CLIENTE-0010</v>
      </c>
      <c r="Y286" t="str">
        <v>MADRID</v>
      </c>
      <c r="Z286">
        <v>300</v>
      </c>
      <c r="AA286">
        <v>43485</v>
      </c>
      <c r="AB286" t="str">
        <v>SI</v>
      </c>
      <c r="AN286">
        <v>284</v>
      </c>
      <c r="AO286" t="str">
        <v>PROGRAMA</v>
      </c>
      <c r="AP286" t="str">
        <v>CLIENTE-0007</v>
      </c>
      <c r="AQ286">
        <v>5000</v>
      </c>
      <c r="AR286" t="str">
        <v>SI</v>
      </c>
    </row>
    <row r="287" spans="1:44">
      <c r="A287" s="2">
        <v>286</v>
      </c>
      <c r="B287" t="s">
        <v>22</v>
      </c>
      <c r="C287" t="s">
        <v>25</v>
      </c>
      <c r="D287" t="s">
        <v>24</v>
      </c>
      <c r="E287" s="3">
        <v>8500</v>
      </c>
      <c r="F287" s="4">
        <v>44177</v>
      </c>
      <c r="G287" s="2" t="s">
        <v>12</v>
      </c>
      <c r="N287">
        <v>738</v>
      </c>
      <c r="O287" t="str">
        <v>PROYECTO</v>
      </c>
      <c r="P287" t="str">
        <v>CLIENTE-0006</v>
      </c>
      <c r="Q287" t="str">
        <v>BARCELONA</v>
      </c>
      <c r="R287" s="10">
        <v>300</v>
      </c>
      <c r="S287">
        <v>43472</v>
      </c>
      <c r="T287" t="str">
        <v>SI</v>
      </c>
      <c r="V287">
        <v>693</v>
      </c>
      <c r="W287" t="str">
        <v>PROGRAMA</v>
      </c>
      <c r="X287" t="str">
        <v>CLIENTE-0001</v>
      </c>
      <c r="Y287" t="str">
        <v>MADRID</v>
      </c>
      <c r="Z287">
        <v>200</v>
      </c>
      <c r="AA287">
        <v>43582</v>
      </c>
      <c r="AB287" t="str">
        <v>SI</v>
      </c>
      <c r="AN287">
        <v>285</v>
      </c>
      <c r="AO287" t="str">
        <v>FORMACION</v>
      </c>
      <c r="AP287" t="str">
        <v>CLIENTE-0008</v>
      </c>
      <c r="AQ287">
        <v>6500</v>
      </c>
      <c r="AR287" t="str">
        <v>SI</v>
      </c>
    </row>
    <row r="288" spans="1:44">
      <c r="A288" s="2">
        <v>287</v>
      </c>
      <c r="B288" t="s">
        <v>10</v>
      </c>
      <c r="C288" t="s">
        <v>26</v>
      </c>
      <c r="D288" t="s">
        <v>9</v>
      </c>
      <c r="E288" s="3">
        <v>1200</v>
      </c>
      <c r="F288" s="4">
        <v>44429</v>
      </c>
      <c r="G288" s="2" t="s">
        <v>12</v>
      </c>
      <c r="N288">
        <v>740</v>
      </c>
      <c r="O288" t="str">
        <v>PROGRAMA</v>
      </c>
      <c r="P288" t="str">
        <v>CLIENTE-0008</v>
      </c>
      <c r="Q288" t="str">
        <v>ALICANTE</v>
      </c>
      <c r="R288" s="10">
        <v>300</v>
      </c>
      <c r="S288">
        <v>44183</v>
      </c>
      <c r="T288" t="str">
        <v>NO</v>
      </c>
      <c r="V288">
        <v>695</v>
      </c>
      <c r="W288" t="str">
        <v>CONSULTORIA</v>
      </c>
      <c r="X288" t="str">
        <v>CLIENTE-0003</v>
      </c>
      <c r="Y288" t="str">
        <v>MADRID</v>
      </c>
      <c r="Z288">
        <v>120</v>
      </c>
      <c r="AA288">
        <v>44359</v>
      </c>
      <c r="AB288" t="str">
        <v>SI</v>
      </c>
      <c r="AN288">
        <v>286</v>
      </c>
      <c r="AO288" t="str">
        <v>CONSULTORIA</v>
      </c>
      <c r="AP288" t="str">
        <v>CLIENTE-0009</v>
      </c>
      <c r="AQ288">
        <v>8500</v>
      </c>
      <c r="AR288" t="str">
        <v>SI</v>
      </c>
    </row>
    <row r="289" spans="1:44">
      <c r="A289" s="2">
        <v>288</v>
      </c>
      <c r="B289" t="s">
        <v>13</v>
      </c>
      <c r="C289" t="s">
        <v>27</v>
      </c>
      <c r="D289" t="s">
        <v>9</v>
      </c>
      <c r="E289" s="3">
        <v>300</v>
      </c>
      <c r="F289" s="4">
        <v>44200</v>
      </c>
      <c r="G289" s="2" t="s">
        <v>12</v>
      </c>
      <c r="N289">
        <v>757</v>
      </c>
      <c r="O289" t="str">
        <v>PROYECTO</v>
      </c>
      <c r="P289" t="str">
        <v>CLIENTE-0004</v>
      </c>
      <c r="Q289" t="str">
        <v>MADRID</v>
      </c>
      <c r="R289" s="10">
        <v>300</v>
      </c>
      <c r="S289">
        <v>44248</v>
      </c>
      <c r="T289" t="str">
        <v>NO</v>
      </c>
      <c r="V289">
        <v>696</v>
      </c>
      <c r="W289" t="str">
        <v>DESARROLLO</v>
      </c>
      <c r="X289" t="str">
        <v>CLIENTE-0004</v>
      </c>
      <c r="Y289" t="str">
        <v>MADRID</v>
      </c>
      <c r="Z289">
        <v>300</v>
      </c>
      <c r="AA289">
        <v>43820</v>
      </c>
      <c r="AB289" t="str">
        <v>SI</v>
      </c>
      <c r="AN289">
        <v>287</v>
      </c>
      <c r="AO289" t="str">
        <v>DESARROLLO</v>
      </c>
      <c r="AP289" t="str">
        <v>CLIENTE-0010</v>
      </c>
      <c r="AQ289">
        <v>1200</v>
      </c>
      <c r="AR289" t="str">
        <v>SI</v>
      </c>
    </row>
    <row r="290" spans="1:44">
      <c r="A290" s="2">
        <v>289</v>
      </c>
      <c r="B290" t="s">
        <v>16</v>
      </c>
      <c r="C290" t="s">
        <v>26</v>
      </c>
      <c r="D290" t="s">
        <v>9</v>
      </c>
      <c r="E290" s="3">
        <v>200</v>
      </c>
      <c r="F290" s="4">
        <v>43682</v>
      </c>
      <c r="G290" s="2" t="s">
        <v>12</v>
      </c>
      <c r="N290">
        <v>761</v>
      </c>
      <c r="O290" t="str">
        <v>CONSULTORIA</v>
      </c>
      <c r="P290" t="str">
        <v>CLIENTE-0008</v>
      </c>
      <c r="Q290" t="str">
        <v>ALICANTE</v>
      </c>
      <c r="R290" s="10">
        <v>300</v>
      </c>
      <c r="S290">
        <v>43755</v>
      </c>
      <c r="T290" t="str">
        <v>SI</v>
      </c>
      <c r="V290">
        <v>702</v>
      </c>
      <c r="W290" t="str">
        <v>DESARROLLO</v>
      </c>
      <c r="X290" t="str">
        <v>CLIENTE-0010</v>
      </c>
      <c r="Y290" t="str">
        <v>MADRID</v>
      </c>
      <c r="Z290">
        <v>1200</v>
      </c>
      <c r="AA290">
        <v>44025</v>
      </c>
      <c r="AB290" t="str">
        <v>NO</v>
      </c>
      <c r="AN290">
        <v>288</v>
      </c>
      <c r="AO290" t="str">
        <v>PROYECTO</v>
      </c>
      <c r="AP290" t="str">
        <v>CLIENTE-0001</v>
      </c>
      <c r="AQ290">
        <v>300</v>
      </c>
      <c r="AR290" t="str">
        <v>SI</v>
      </c>
    </row>
    <row r="291" spans="1:44">
      <c r="A291" s="2">
        <v>290</v>
      </c>
      <c r="B291" t="s">
        <v>18</v>
      </c>
      <c r="C291" t="s">
        <v>27</v>
      </c>
      <c r="D291" t="s">
        <v>9</v>
      </c>
      <c r="E291" s="3">
        <v>150</v>
      </c>
      <c r="F291" s="4">
        <v>44126</v>
      </c>
      <c r="G291" s="2" t="s">
        <v>12</v>
      </c>
      <c r="N291">
        <v>763</v>
      </c>
      <c r="O291" t="str">
        <v>PROYECTO</v>
      </c>
      <c r="P291" t="str">
        <v>CLIENTE-0010</v>
      </c>
      <c r="Q291" t="str">
        <v>MADRID</v>
      </c>
      <c r="R291" s="10">
        <v>300</v>
      </c>
      <c r="S291">
        <v>43499</v>
      </c>
      <c r="T291" t="str">
        <v>SI</v>
      </c>
      <c r="V291">
        <v>703</v>
      </c>
      <c r="W291" t="str">
        <v>PROYECTO</v>
      </c>
      <c r="X291" t="str">
        <v>CLIENTE-0004</v>
      </c>
      <c r="Y291" t="str">
        <v>MADRID</v>
      </c>
      <c r="Z291">
        <v>300</v>
      </c>
      <c r="AA291">
        <v>44029</v>
      </c>
      <c r="AB291" t="str">
        <v>NO</v>
      </c>
      <c r="AN291">
        <v>289</v>
      </c>
      <c r="AO291" t="str">
        <v>EQUIPOS</v>
      </c>
      <c r="AP291" t="str">
        <v>CLIENTE-0010</v>
      </c>
      <c r="AQ291">
        <v>200</v>
      </c>
      <c r="AR291" t="str">
        <v>SI</v>
      </c>
    </row>
    <row r="292" spans="1:44">
      <c r="A292" s="2">
        <v>291</v>
      </c>
      <c r="B292" t="s">
        <v>13</v>
      </c>
      <c r="C292" t="s">
        <v>29</v>
      </c>
      <c r="D292" t="s">
        <v>24</v>
      </c>
      <c r="E292" s="3">
        <v>120</v>
      </c>
      <c r="F292" s="4">
        <v>43650</v>
      </c>
      <c r="G292" s="2" t="s">
        <v>12</v>
      </c>
      <c r="N292">
        <v>768</v>
      </c>
      <c r="O292" t="str">
        <v>EQUIPOS</v>
      </c>
      <c r="P292" t="str">
        <v>CLIENTE-0007</v>
      </c>
      <c r="Q292" t="str">
        <v>BARCELONA</v>
      </c>
      <c r="R292" s="10">
        <v>300</v>
      </c>
      <c r="S292">
        <v>44272</v>
      </c>
      <c r="T292" t="str">
        <v>SI</v>
      </c>
      <c r="V292">
        <v>710</v>
      </c>
      <c r="W292" t="str">
        <v>EQUIPOS</v>
      </c>
      <c r="X292" t="str">
        <v>CLIENTE-0010</v>
      </c>
      <c r="Y292" t="str">
        <v>MADRID</v>
      </c>
      <c r="Z292">
        <v>120</v>
      </c>
      <c r="AA292">
        <v>44555</v>
      </c>
      <c r="AB292" t="str">
        <v>SI</v>
      </c>
      <c r="AN292">
        <v>290</v>
      </c>
      <c r="AO292" t="str">
        <v>PROGRAMA</v>
      </c>
      <c r="AP292" t="str">
        <v>CLIENTE-0001</v>
      </c>
      <c r="AQ292">
        <v>150</v>
      </c>
      <c r="AR292" t="str">
        <v>SI</v>
      </c>
    </row>
    <row r="293" spans="1:44">
      <c r="A293" s="2">
        <v>292</v>
      </c>
      <c r="B293" t="s">
        <v>16</v>
      </c>
      <c r="C293" t="s">
        <v>21</v>
      </c>
      <c r="D293" t="s">
        <v>9</v>
      </c>
      <c r="E293" s="3">
        <v>300</v>
      </c>
      <c r="F293" s="4">
        <v>43716</v>
      </c>
      <c r="G293" s="2" t="s">
        <v>12</v>
      </c>
      <c r="N293">
        <v>772</v>
      </c>
      <c r="O293" t="str">
        <v>DESARROLLO</v>
      </c>
      <c r="P293" t="str">
        <v>CLIENTE-0001</v>
      </c>
      <c r="Q293" t="str">
        <v>MADRID</v>
      </c>
      <c r="R293" s="10">
        <v>300</v>
      </c>
      <c r="S293">
        <v>44365</v>
      </c>
      <c r="T293" t="str">
        <v>NO</v>
      </c>
      <c r="V293">
        <v>711</v>
      </c>
      <c r="W293" t="str">
        <v>CONSULTORIA</v>
      </c>
      <c r="X293" t="str">
        <v>CLIENTE-0001</v>
      </c>
      <c r="Y293" t="str">
        <v>MADRID</v>
      </c>
      <c r="Z293">
        <v>150</v>
      </c>
      <c r="AA293">
        <v>43945</v>
      </c>
      <c r="AB293" t="str">
        <v>SI</v>
      </c>
      <c r="AN293">
        <v>291</v>
      </c>
      <c r="AO293" t="str">
        <v>PROYECTO</v>
      </c>
      <c r="AP293" t="str">
        <v>CLIENTE-0002</v>
      </c>
      <c r="AQ293">
        <v>120</v>
      </c>
      <c r="AR293" t="str">
        <v>SI</v>
      </c>
    </row>
    <row r="294" spans="1:44">
      <c r="A294" s="2">
        <v>293</v>
      </c>
      <c r="B294" t="s">
        <v>18</v>
      </c>
      <c r="C294" t="s">
        <v>11</v>
      </c>
      <c r="D294" t="s">
        <v>9</v>
      </c>
      <c r="E294" s="3">
        <v>350</v>
      </c>
      <c r="F294" s="4">
        <v>43500</v>
      </c>
      <c r="G294" s="2" t="s">
        <v>12</v>
      </c>
      <c r="N294">
        <v>774</v>
      </c>
      <c r="O294" t="str">
        <v>EQUIPOS</v>
      </c>
      <c r="P294" t="str">
        <v>CLIENTE-0001</v>
      </c>
      <c r="Q294" t="str">
        <v>MADRID</v>
      </c>
      <c r="R294" s="10">
        <v>300</v>
      </c>
      <c r="S294">
        <v>43487</v>
      </c>
      <c r="T294" t="str">
        <v>NO</v>
      </c>
      <c r="V294">
        <v>712</v>
      </c>
      <c r="W294" t="str">
        <v>DESARROLLO</v>
      </c>
      <c r="X294" t="str">
        <v>CLIENTE-0010</v>
      </c>
      <c r="Y294" t="str">
        <v>MADRID</v>
      </c>
      <c r="Z294">
        <v>1200</v>
      </c>
      <c r="AA294">
        <v>43516</v>
      </c>
      <c r="AB294" t="str">
        <v>SI</v>
      </c>
      <c r="AN294">
        <v>292</v>
      </c>
      <c r="AO294" t="str">
        <v>EQUIPOS</v>
      </c>
      <c r="AP294" t="str">
        <v>CLIENTE-0003</v>
      </c>
      <c r="AQ294">
        <v>300</v>
      </c>
      <c r="AR294" t="str">
        <v>SI</v>
      </c>
    </row>
    <row r="295" spans="1:44">
      <c r="A295" s="2">
        <v>294</v>
      </c>
      <c r="B295" t="s">
        <v>20</v>
      </c>
      <c r="C295" t="s">
        <v>14</v>
      </c>
      <c r="D295" t="s">
        <v>15</v>
      </c>
      <c r="E295" s="3">
        <v>300</v>
      </c>
      <c r="F295" s="4">
        <v>44133</v>
      </c>
      <c r="G295" s="2" t="s">
        <v>12</v>
      </c>
      <c r="N295">
        <v>20</v>
      </c>
      <c r="O295" t="str">
        <v>PROGRAMA</v>
      </c>
      <c r="P295" t="str">
        <v>CLIENTE-0005</v>
      </c>
      <c r="Q295" t="str">
        <v>BARCELONA</v>
      </c>
      <c r="R295" s="10">
        <v>350</v>
      </c>
      <c r="S295">
        <v>44450</v>
      </c>
      <c r="T295" t="str">
        <v>NO</v>
      </c>
      <c r="V295">
        <v>713</v>
      </c>
      <c r="W295" t="str">
        <v>PROYECTO</v>
      </c>
      <c r="X295" t="str">
        <v>CLIENTE-0001</v>
      </c>
      <c r="Y295" t="str">
        <v>MADRID</v>
      </c>
      <c r="Z295">
        <v>800</v>
      </c>
      <c r="AA295">
        <v>44400</v>
      </c>
      <c r="AB295" t="str">
        <v>NO</v>
      </c>
      <c r="AN295">
        <v>293</v>
      </c>
      <c r="AO295" t="str">
        <v>PROGRAMA</v>
      </c>
      <c r="AP295" t="str">
        <v>CLIENTE-0004</v>
      </c>
      <c r="AQ295">
        <v>350</v>
      </c>
      <c r="AR295" t="str">
        <v>SI</v>
      </c>
    </row>
    <row r="296" spans="1:44">
      <c r="A296" s="2">
        <v>295</v>
      </c>
      <c r="B296" t="s">
        <v>22</v>
      </c>
      <c r="C296" t="s">
        <v>17</v>
      </c>
      <c r="D296" t="s">
        <v>15</v>
      </c>
      <c r="E296" s="3">
        <v>120</v>
      </c>
      <c r="F296" s="4">
        <v>44135</v>
      </c>
      <c r="G296" s="2" t="s">
        <v>12</v>
      </c>
      <c r="N296">
        <v>43</v>
      </c>
      <c r="O296" t="str">
        <v>PROYECTO</v>
      </c>
      <c r="P296" t="str">
        <v>CLIENTE-0008</v>
      </c>
      <c r="Q296" t="str">
        <v>ALICANTE</v>
      </c>
      <c r="R296" s="10">
        <v>350</v>
      </c>
      <c r="S296">
        <v>43519</v>
      </c>
      <c r="T296" t="str">
        <v>NO</v>
      </c>
      <c r="V296">
        <v>715</v>
      </c>
      <c r="W296" t="str">
        <v>PROGRAMA</v>
      </c>
      <c r="X296" t="str">
        <v>CLIENTE-0003</v>
      </c>
      <c r="Y296" t="str">
        <v>MADRID</v>
      </c>
      <c r="Z296">
        <v>4500</v>
      </c>
      <c r="AA296">
        <v>44003</v>
      </c>
      <c r="AB296" t="str">
        <v>NO</v>
      </c>
      <c r="AN296">
        <v>294</v>
      </c>
      <c r="AO296" t="str">
        <v>FORMACION</v>
      </c>
      <c r="AP296" t="str">
        <v>CLIENTE-0005</v>
      </c>
      <c r="AQ296">
        <v>300</v>
      </c>
      <c r="AR296" t="str">
        <v>SI</v>
      </c>
    </row>
    <row r="297" spans="1:44">
      <c r="A297" s="2">
        <v>296</v>
      </c>
      <c r="B297" t="s">
        <v>10</v>
      </c>
      <c r="C297" t="s">
        <v>19</v>
      </c>
      <c r="D297" t="s">
        <v>15</v>
      </c>
      <c r="E297" s="3">
        <v>150</v>
      </c>
      <c r="F297" s="4">
        <v>43774</v>
      </c>
      <c r="G297" s="2" t="s">
        <v>12</v>
      </c>
      <c r="N297">
        <v>54</v>
      </c>
      <c r="O297" t="str">
        <v>DESARROLLO</v>
      </c>
      <c r="P297" t="str">
        <v>CLIENTE-0006</v>
      </c>
      <c r="Q297" t="str">
        <v>BARCELONA</v>
      </c>
      <c r="R297" s="10">
        <v>350</v>
      </c>
      <c r="S297">
        <v>44546</v>
      </c>
      <c r="T297" t="str">
        <v>SI</v>
      </c>
      <c r="V297">
        <v>716</v>
      </c>
      <c r="W297" t="str">
        <v>FORMACION</v>
      </c>
      <c r="X297" t="str">
        <v>CLIENTE-0004</v>
      </c>
      <c r="Y297" t="str">
        <v>MADRID</v>
      </c>
      <c r="Z297">
        <v>500</v>
      </c>
      <c r="AA297">
        <v>43901</v>
      </c>
      <c r="AB297" t="str">
        <v>NO</v>
      </c>
      <c r="AN297">
        <v>295</v>
      </c>
      <c r="AO297" t="str">
        <v>CONSULTORIA</v>
      </c>
      <c r="AP297" t="str">
        <v>CLIENTE-0006</v>
      </c>
      <c r="AQ297">
        <v>120</v>
      </c>
      <c r="AR297" t="str">
        <v>SI</v>
      </c>
    </row>
    <row r="298" spans="1:44">
      <c r="A298" s="2">
        <v>297</v>
      </c>
      <c r="B298" t="s">
        <v>13</v>
      </c>
      <c r="C298" t="s">
        <v>23</v>
      </c>
      <c r="D298" t="s">
        <v>24</v>
      </c>
      <c r="E298" s="3">
        <v>8500</v>
      </c>
      <c r="F298" s="4">
        <v>43529</v>
      </c>
      <c r="G298" s="2" t="s">
        <v>12</v>
      </c>
      <c r="N298">
        <v>89</v>
      </c>
      <c r="O298" t="str">
        <v>DESARROLLO</v>
      </c>
      <c r="P298" t="str">
        <v>CLIENTE-0009</v>
      </c>
      <c r="Q298" t="str">
        <v>ALICANTE</v>
      </c>
      <c r="R298" s="10">
        <v>350</v>
      </c>
      <c r="S298">
        <v>43727</v>
      </c>
      <c r="T298" t="str">
        <v>NO</v>
      </c>
      <c r="V298">
        <v>722</v>
      </c>
      <c r="W298" t="str">
        <v>FORMACION</v>
      </c>
      <c r="X298" t="str">
        <v>CLIENTE-0010</v>
      </c>
      <c r="Y298" t="str">
        <v>MADRID</v>
      </c>
      <c r="Z298">
        <v>5000</v>
      </c>
      <c r="AA298">
        <v>43578</v>
      </c>
      <c r="AB298" t="str">
        <v>SI</v>
      </c>
      <c r="AN298">
        <v>296</v>
      </c>
      <c r="AO298" t="str">
        <v>DESARROLLO</v>
      </c>
      <c r="AP298" t="str">
        <v>CLIENTE-0007</v>
      </c>
      <c r="AQ298">
        <v>150</v>
      </c>
      <c r="AR298" t="str">
        <v>SI</v>
      </c>
    </row>
    <row r="299" spans="1:44">
      <c r="A299" s="2">
        <v>298</v>
      </c>
      <c r="B299" t="s">
        <v>16</v>
      </c>
      <c r="C299" t="s">
        <v>25</v>
      </c>
      <c r="D299" t="s">
        <v>24</v>
      </c>
      <c r="E299" s="3">
        <v>1200</v>
      </c>
      <c r="F299" s="4">
        <v>44122</v>
      </c>
      <c r="G299" s="2" t="s">
        <v>12</v>
      </c>
      <c r="N299">
        <v>112</v>
      </c>
      <c r="O299" t="str">
        <v>PROYECTO</v>
      </c>
      <c r="P299" t="str">
        <v>CLIENTE-0007</v>
      </c>
      <c r="Q299" t="str">
        <v>BARCELONA</v>
      </c>
      <c r="R299" s="10">
        <v>350</v>
      </c>
      <c r="S299">
        <v>43967</v>
      </c>
      <c r="T299" t="str">
        <v>NO</v>
      </c>
      <c r="V299">
        <v>723</v>
      </c>
      <c r="W299" t="str">
        <v>CONSULTORIA</v>
      </c>
      <c r="X299" t="str">
        <v>CLIENTE-0001</v>
      </c>
      <c r="Y299" t="str">
        <v>MADRID</v>
      </c>
      <c r="Z299">
        <v>6500</v>
      </c>
      <c r="AA299">
        <v>43772</v>
      </c>
      <c r="AB299" t="str">
        <v>SI</v>
      </c>
      <c r="AN299">
        <v>297</v>
      </c>
      <c r="AO299" t="str">
        <v>PROYECTO</v>
      </c>
      <c r="AP299" t="str">
        <v>CLIENTE-0008</v>
      </c>
      <c r="AQ299">
        <v>8500</v>
      </c>
      <c r="AR299" t="str">
        <v>SI</v>
      </c>
    </row>
    <row r="300" spans="1:44">
      <c r="A300" s="2">
        <v>299</v>
      </c>
      <c r="B300" t="s">
        <v>22</v>
      </c>
      <c r="C300" t="s">
        <v>26</v>
      </c>
      <c r="D300" t="s">
        <v>9</v>
      </c>
      <c r="E300" s="3">
        <v>300</v>
      </c>
      <c r="F300" s="4">
        <v>44343</v>
      </c>
      <c r="G300" s="2" t="s">
        <v>12</v>
      </c>
      <c r="N300">
        <v>123</v>
      </c>
      <c r="O300" t="str">
        <v>CONSULTORIA</v>
      </c>
      <c r="P300" t="str">
        <v>CLIENTE-0010</v>
      </c>
      <c r="Q300" t="str">
        <v>MADRID</v>
      </c>
      <c r="R300" s="10">
        <v>350</v>
      </c>
      <c r="S300">
        <v>44524</v>
      </c>
      <c r="T300" t="str">
        <v>SI</v>
      </c>
      <c r="V300">
        <v>724</v>
      </c>
      <c r="W300" t="str">
        <v>DESARROLLO</v>
      </c>
      <c r="X300" t="str">
        <v>CLIENTE-0010</v>
      </c>
      <c r="Y300" t="str">
        <v>MADRID</v>
      </c>
      <c r="Z300">
        <v>1200</v>
      </c>
      <c r="AA300">
        <v>43512</v>
      </c>
      <c r="AB300" t="str">
        <v>SI</v>
      </c>
      <c r="AN300">
        <v>298</v>
      </c>
      <c r="AO300" t="str">
        <v>EQUIPOS</v>
      </c>
      <c r="AP300" t="str">
        <v>CLIENTE-0009</v>
      </c>
      <c r="AQ300">
        <v>1200</v>
      </c>
      <c r="AR300" t="str">
        <v>SI</v>
      </c>
    </row>
    <row r="301" spans="1:44">
      <c r="A301" s="2">
        <v>300</v>
      </c>
      <c r="B301" t="s">
        <v>10</v>
      </c>
      <c r="C301" t="s">
        <v>11</v>
      </c>
      <c r="D301" t="s">
        <v>9</v>
      </c>
      <c r="E301" s="3">
        <v>200</v>
      </c>
      <c r="F301" s="4">
        <v>43864</v>
      </c>
      <c r="G301" s="2" t="s">
        <v>12</v>
      </c>
      <c r="N301">
        <v>158</v>
      </c>
      <c r="O301" t="str">
        <v>DESARROLLO</v>
      </c>
      <c r="P301" t="str">
        <v>CLIENTE-0008</v>
      </c>
      <c r="Q301" t="str">
        <v>ALICANTE</v>
      </c>
      <c r="R301" s="10">
        <v>350</v>
      </c>
      <c r="S301">
        <v>44283</v>
      </c>
      <c r="T301" t="str">
        <v>NO</v>
      </c>
      <c r="V301">
        <v>725</v>
      </c>
      <c r="W301" t="str">
        <v>PROYECTO</v>
      </c>
      <c r="X301" t="str">
        <v>CLIENTE-0001</v>
      </c>
      <c r="Y301" t="str">
        <v>MADRID</v>
      </c>
      <c r="Z301">
        <v>800</v>
      </c>
      <c r="AA301">
        <v>43618</v>
      </c>
      <c r="AB301" t="str">
        <v>SI</v>
      </c>
      <c r="AN301">
        <v>299</v>
      </c>
      <c r="AO301" t="str">
        <v>CONSULTORIA</v>
      </c>
      <c r="AP301" t="str">
        <v>CLIENTE-0010</v>
      </c>
      <c r="AQ301">
        <v>300</v>
      </c>
      <c r="AR301" t="str">
        <v>SI</v>
      </c>
    </row>
    <row r="302" spans="1:44">
      <c r="A302" s="2">
        <v>301</v>
      </c>
      <c r="B302" t="s">
        <v>13</v>
      </c>
      <c r="C302" t="s">
        <v>14</v>
      </c>
      <c r="D302" t="s">
        <v>15</v>
      </c>
      <c r="E302" s="3">
        <v>150</v>
      </c>
      <c r="F302" s="4">
        <v>43967</v>
      </c>
      <c r="G302" s="2" t="s">
        <v>12</v>
      </c>
      <c r="N302">
        <v>181</v>
      </c>
      <c r="O302" t="str">
        <v>FORMACION</v>
      </c>
      <c r="P302" t="str">
        <v>CLIENTE-0004</v>
      </c>
      <c r="Q302" t="str">
        <v>MADRID</v>
      </c>
      <c r="R302" s="10">
        <v>350</v>
      </c>
      <c r="S302">
        <v>43893</v>
      </c>
      <c r="T302" t="str">
        <v>NO</v>
      </c>
      <c r="V302">
        <v>727</v>
      </c>
      <c r="W302" t="str">
        <v>PROGRAMA</v>
      </c>
      <c r="X302" t="str">
        <v>CLIENTE-0003</v>
      </c>
      <c r="Y302" t="str">
        <v>MADRID</v>
      </c>
      <c r="Z302">
        <v>4500</v>
      </c>
      <c r="AA302">
        <v>44271</v>
      </c>
      <c r="AB302" t="str">
        <v>SI</v>
      </c>
      <c r="AN302">
        <v>300</v>
      </c>
      <c r="AO302" t="str">
        <v>DESARROLLO</v>
      </c>
      <c r="AP302" t="str">
        <v>CLIENTE-0004</v>
      </c>
      <c r="AQ302">
        <v>200</v>
      </c>
      <c r="AR302" t="str">
        <v>SI</v>
      </c>
    </row>
    <row r="303" spans="1:44">
      <c r="A303" s="2">
        <v>302</v>
      </c>
      <c r="B303" t="s">
        <v>16</v>
      </c>
      <c r="C303" t="s">
        <v>14</v>
      </c>
      <c r="D303" t="s">
        <v>15</v>
      </c>
      <c r="E303" s="3">
        <v>120</v>
      </c>
      <c r="F303" s="4">
        <v>43690</v>
      </c>
      <c r="G303" s="2" t="s">
        <v>12</v>
      </c>
      <c r="N303">
        <v>192</v>
      </c>
      <c r="O303" t="str">
        <v>CONSULTORIA</v>
      </c>
      <c r="P303" t="str">
        <v>CLIENTE-0002</v>
      </c>
      <c r="Q303" t="str">
        <v>ALICANTE</v>
      </c>
      <c r="R303" s="10">
        <v>350</v>
      </c>
      <c r="S303">
        <v>43858</v>
      </c>
      <c r="T303" t="str">
        <v>SI</v>
      </c>
      <c r="V303">
        <v>728</v>
      </c>
      <c r="W303" t="str">
        <v>FORMACION</v>
      </c>
      <c r="X303" t="str">
        <v>CLIENTE-0004</v>
      </c>
      <c r="Y303" t="str">
        <v>MADRID</v>
      </c>
      <c r="Z303">
        <v>500</v>
      </c>
      <c r="AA303">
        <v>44243</v>
      </c>
      <c r="AB303" t="str">
        <v>SI</v>
      </c>
      <c r="AN303">
        <v>301</v>
      </c>
      <c r="AO303" t="str">
        <v>PROYECTO</v>
      </c>
      <c r="AP303" t="str">
        <v>CLIENTE-0005</v>
      </c>
      <c r="AQ303">
        <v>150</v>
      </c>
      <c r="AR303" t="str">
        <v>SI</v>
      </c>
    </row>
    <row r="304" spans="1:44">
      <c r="A304" s="2">
        <v>303</v>
      </c>
      <c r="B304" t="s">
        <v>18</v>
      </c>
      <c r="C304" t="s">
        <v>17</v>
      </c>
      <c r="D304" t="s">
        <v>15</v>
      </c>
      <c r="E304" s="3">
        <v>300</v>
      </c>
      <c r="F304" s="4">
        <v>43507</v>
      </c>
      <c r="G304" s="2" t="s">
        <v>12</v>
      </c>
      <c r="N304">
        <v>227</v>
      </c>
      <c r="O304" t="str">
        <v>PROGRAMA</v>
      </c>
      <c r="P304" t="str">
        <v>CLIENTE-0005</v>
      </c>
      <c r="Q304" t="str">
        <v>BARCELONA</v>
      </c>
      <c r="R304" s="10">
        <v>350</v>
      </c>
      <c r="S304">
        <v>43717</v>
      </c>
      <c r="T304" t="str">
        <v>NO</v>
      </c>
      <c r="V304">
        <v>734</v>
      </c>
      <c r="W304" t="str">
        <v>PROGRAMA</v>
      </c>
      <c r="X304" t="str">
        <v>CLIENTE-0010</v>
      </c>
      <c r="Y304" t="str">
        <v>MADRID</v>
      </c>
      <c r="Z304">
        <v>300</v>
      </c>
      <c r="AA304">
        <v>43867</v>
      </c>
      <c r="AB304" t="str">
        <v>SI</v>
      </c>
      <c r="AN304">
        <v>302</v>
      </c>
      <c r="AO304" t="str">
        <v>EQUIPOS</v>
      </c>
      <c r="AP304" t="str">
        <v>CLIENTE-0005</v>
      </c>
      <c r="AQ304">
        <v>120</v>
      </c>
      <c r="AR304" t="str">
        <v>SI</v>
      </c>
    </row>
    <row r="305" spans="1:44">
      <c r="A305" s="2">
        <v>304</v>
      </c>
      <c r="B305" t="s">
        <v>20</v>
      </c>
      <c r="C305" t="s">
        <v>19</v>
      </c>
      <c r="D305" t="s">
        <v>15</v>
      </c>
      <c r="E305" s="3">
        <v>350</v>
      </c>
      <c r="F305" s="4">
        <v>43866</v>
      </c>
      <c r="G305" s="2" t="s">
        <v>12</v>
      </c>
      <c r="N305">
        <v>250</v>
      </c>
      <c r="O305" t="str">
        <v>FORMACION</v>
      </c>
      <c r="P305" t="str">
        <v>CLIENTE-0007</v>
      </c>
      <c r="Q305" t="str">
        <v>BARCELONA</v>
      </c>
      <c r="R305" s="10">
        <v>350</v>
      </c>
      <c r="S305">
        <v>43852</v>
      </c>
      <c r="T305" t="str">
        <v>NO</v>
      </c>
      <c r="V305">
        <v>735</v>
      </c>
      <c r="W305" t="str">
        <v>FORMACION</v>
      </c>
      <c r="X305" t="str">
        <v>CLIENTE-0004</v>
      </c>
      <c r="Y305" t="str">
        <v>MADRID</v>
      </c>
      <c r="Z305">
        <v>200</v>
      </c>
      <c r="AA305">
        <v>43936</v>
      </c>
      <c r="AB305" t="str">
        <v>SI</v>
      </c>
      <c r="AN305">
        <v>303</v>
      </c>
      <c r="AO305" t="str">
        <v>PROGRAMA</v>
      </c>
      <c r="AP305" t="str">
        <v>CLIENTE-0006</v>
      </c>
      <c r="AQ305">
        <v>300</v>
      </c>
      <c r="AR305" t="str">
        <v>SI</v>
      </c>
    </row>
    <row r="306" spans="1:44">
      <c r="A306" s="2">
        <v>305</v>
      </c>
      <c r="B306" t="s">
        <v>22</v>
      </c>
      <c r="C306" t="s">
        <v>23</v>
      </c>
      <c r="D306" t="s">
        <v>24</v>
      </c>
      <c r="E306" s="3">
        <v>300</v>
      </c>
      <c r="F306" s="4">
        <v>43683</v>
      </c>
      <c r="G306" s="2" t="s">
        <v>28</v>
      </c>
      <c r="N306">
        <v>261</v>
      </c>
      <c r="O306" t="str">
        <v>PROGRAMA</v>
      </c>
      <c r="P306" t="str">
        <v>CLIENTE-0006</v>
      </c>
      <c r="Q306" t="str">
        <v>BARCELONA</v>
      </c>
      <c r="R306" s="10">
        <v>350</v>
      </c>
      <c r="S306">
        <v>44411</v>
      </c>
      <c r="T306" t="str">
        <v>SI</v>
      </c>
      <c r="V306">
        <v>743</v>
      </c>
      <c r="W306" t="str">
        <v>DESARROLLO</v>
      </c>
      <c r="X306" t="str">
        <v>CLIENTE-0003</v>
      </c>
      <c r="Y306" t="str">
        <v>MADRID</v>
      </c>
      <c r="Z306">
        <v>1200</v>
      </c>
      <c r="AA306">
        <v>43576</v>
      </c>
      <c r="AB306" t="str">
        <v>NO</v>
      </c>
      <c r="AN306">
        <v>304</v>
      </c>
      <c r="AO306" t="str">
        <v>FORMACION</v>
      </c>
      <c r="AP306" t="str">
        <v>CLIENTE-0007</v>
      </c>
      <c r="AQ306">
        <v>350</v>
      </c>
      <c r="AR306" t="str">
        <v>SI</v>
      </c>
    </row>
    <row r="307" spans="1:44">
      <c r="A307" s="2">
        <v>306</v>
      </c>
      <c r="B307" t="s">
        <v>10</v>
      </c>
      <c r="C307" t="s">
        <v>25</v>
      </c>
      <c r="D307" t="s">
        <v>24</v>
      </c>
      <c r="E307" s="3">
        <v>120</v>
      </c>
      <c r="F307" s="4">
        <v>43639</v>
      </c>
      <c r="G307" s="2" t="s">
        <v>28</v>
      </c>
      <c r="N307">
        <v>293</v>
      </c>
      <c r="O307" t="str">
        <v>PROGRAMA</v>
      </c>
      <c r="P307" t="str">
        <v>CLIENTE-0004</v>
      </c>
      <c r="Q307" t="str">
        <v>MADRID</v>
      </c>
      <c r="R307" s="10">
        <v>350</v>
      </c>
      <c r="S307">
        <v>43500</v>
      </c>
      <c r="T307" t="str">
        <v>SI</v>
      </c>
      <c r="V307">
        <v>744</v>
      </c>
      <c r="W307" t="str">
        <v>PROYECTO</v>
      </c>
      <c r="X307" t="str">
        <v>CLIENTE-0004</v>
      </c>
      <c r="Y307" t="str">
        <v>MADRID</v>
      </c>
      <c r="Z307">
        <v>800</v>
      </c>
      <c r="AA307">
        <v>43725</v>
      </c>
      <c r="AB307" t="str">
        <v>NO</v>
      </c>
      <c r="AN307">
        <v>305</v>
      </c>
      <c r="AO307" t="str">
        <v>CONSULTORIA</v>
      </c>
      <c r="AP307" t="str">
        <v>CLIENTE-0008</v>
      </c>
      <c r="AQ307">
        <v>300</v>
      </c>
      <c r="AR307" t="str">
        <v>NO</v>
      </c>
    </row>
    <row r="308" spans="1:44">
      <c r="A308" s="2">
        <v>307</v>
      </c>
      <c r="B308" t="s">
        <v>13</v>
      </c>
      <c r="C308" t="s">
        <v>26</v>
      </c>
      <c r="D308" t="s">
        <v>9</v>
      </c>
      <c r="E308" s="3">
        <v>150</v>
      </c>
      <c r="F308" s="4">
        <v>43605</v>
      </c>
      <c r="G308" s="2" t="s">
        <v>28</v>
      </c>
      <c r="N308">
        <v>304</v>
      </c>
      <c r="O308" t="str">
        <v>FORMACION</v>
      </c>
      <c r="P308" t="str">
        <v>CLIENTE-0007</v>
      </c>
      <c r="Q308" t="str">
        <v>BARCELONA</v>
      </c>
      <c r="R308" s="10">
        <v>350</v>
      </c>
      <c r="S308">
        <v>43866</v>
      </c>
      <c r="T308" t="str">
        <v>SI</v>
      </c>
      <c r="V308">
        <v>751</v>
      </c>
      <c r="W308" t="str">
        <v>FORMACION</v>
      </c>
      <c r="X308" t="str">
        <v>CLIENTE-0010</v>
      </c>
      <c r="Y308" t="str">
        <v>MADRID</v>
      </c>
      <c r="Z308">
        <v>950</v>
      </c>
      <c r="AA308">
        <v>44475</v>
      </c>
      <c r="AB308" t="str">
        <v>SI</v>
      </c>
      <c r="AN308">
        <v>306</v>
      </c>
      <c r="AO308" t="str">
        <v>DESARROLLO</v>
      </c>
      <c r="AP308" t="str">
        <v>CLIENTE-0009</v>
      </c>
      <c r="AQ308">
        <v>120</v>
      </c>
      <c r="AR308" t="str">
        <v>NO</v>
      </c>
    </row>
    <row r="309" spans="1:44">
      <c r="A309" s="2">
        <v>308</v>
      </c>
      <c r="B309" t="s">
        <v>16</v>
      </c>
      <c r="C309" t="s">
        <v>27</v>
      </c>
      <c r="D309" t="s">
        <v>9</v>
      </c>
      <c r="E309" s="3">
        <v>1200</v>
      </c>
      <c r="F309" s="4">
        <v>43769</v>
      </c>
      <c r="G309" s="2" t="s">
        <v>28</v>
      </c>
      <c r="N309">
        <v>339</v>
      </c>
      <c r="O309" t="str">
        <v>CONSULTORIA</v>
      </c>
      <c r="P309" t="str">
        <v>CLIENTE-0010</v>
      </c>
      <c r="Q309" t="str">
        <v>MADRID</v>
      </c>
      <c r="R309" s="10">
        <v>350</v>
      </c>
      <c r="S309">
        <v>43734</v>
      </c>
      <c r="T309" t="str">
        <v>SI</v>
      </c>
      <c r="V309">
        <v>752</v>
      </c>
      <c r="W309" t="str">
        <v>CONSULTORIA</v>
      </c>
      <c r="X309" t="str">
        <v>CLIENTE-0001</v>
      </c>
      <c r="Y309" t="str">
        <v>MADRID</v>
      </c>
      <c r="Z309">
        <v>1500</v>
      </c>
      <c r="AA309">
        <v>43715</v>
      </c>
      <c r="AB309" t="str">
        <v>SI</v>
      </c>
      <c r="AN309">
        <v>307</v>
      </c>
      <c r="AO309" t="str">
        <v>PROYECTO</v>
      </c>
      <c r="AP309" t="str">
        <v>CLIENTE-0010</v>
      </c>
      <c r="AQ309">
        <v>150</v>
      </c>
      <c r="AR309" t="str">
        <v>NO</v>
      </c>
    </row>
    <row r="310" spans="1:44">
      <c r="A310" s="2">
        <v>309</v>
      </c>
      <c r="B310" t="s">
        <v>18</v>
      </c>
      <c r="C310" t="s">
        <v>26</v>
      </c>
      <c r="D310" t="s">
        <v>9</v>
      </c>
      <c r="E310" s="3">
        <v>800</v>
      </c>
      <c r="F310" s="4">
        <v>43491</v>
      </c>
      <c r="G310" s="2" t="s">
        <v>28</v>
      </c>
      <c r="N310">
        <v>362</v>
      </c>
      <c r="O310" t="str">
        <v>PROYECTO</v>
      </c>
      <c r="P310" t="str">
        <v>CLIENTE-0008</v>
      </c>
      <c r="Q310" t="str">
        <v>ALICANTE</v>
      </c>
      <c r="R310" s="10">
        <v>350</v>
      </c>
      <c r="S310">
        <v>43952</v>
      </c>
      <c r="T310" t="str">
        <v>NO</v>
      </c>
      <c r="V310">
        <v>753</v>
      </c>
      <c r="W310" t="str">
        <v>DESARROLLO</v>
      </c>
      <c r="X310" t="str">
        <v>CLIENTE-0010</v>
      </c>
      <c r="Y310" t="str">
        <v>MADRID</v>
      </c>
      <c r="Z310">
        <v>5000</v>
      </c>
      <c r="AA310">
        <v>43611</v>
      </c>
      <c r="AB310" t="str">
        <v>SI</v>
      </c>
      <c r="AN310">
        <v>308</v>
      </c>
      <c r="AO310" t="str">
        <v>EQUIPOS</v>
      </c>
      <c r="AP310" t="str">
        <v>CLIENTE-0001</v>
      </c>
      <c r="AQ310">
        <v>1200</v>
      </c>
      <c r="AR310" t="str">
        <v>NO</v>
      </c>
    </row>
    <row r="311" spans="1:44">
      <c r="A311" s="2">
        <v>310</v>
      </c>
      <c r="B311" t="s">
        <v>20</v>
      </c>
      <c r="C311" t="s">
        <v>27</v>
      </c>
      <c r="D311" t="s">
        <v>9</v>
      </c>
      <c r="E311" s="3">
        <v>750</v>
      </c>
      <c r="F311" s="4">
        <v>44079</v>
      </c>
      <c r="G311" s="2" t="s">
        <v>28</v>
      </c>
      <c r="N311">
        <v>373</v>
      </c>
      <c r="O311" t="str">
        <v>DESARROLLO</v>
      </c>
      <c r="P311" t="str">
        <v>CLIENTE-0001</v>
      </c>
      <c r="Q311" t="str">
        <v>MADRID</v>
      </c>
      <c r="R311" s="10">
        <v>350</v>
      </c>
      <c r="S311">
        <v>43548</v>
      </c>
      <c r="T311" t="str">
        <v>SI</v>
      </c>
      <c r="V311">
        <v>754</v>
      </c>
      <c r="W311" t="str">
        <v>PROYECTO</v>
      </c>
      <c r="X311" t="str">
        <v>CLIENTE-0001</v>
      </c>
      <c r="Y311" t="str">
        <v>MADRID</v>
      </c>
      <c r="Z311">
        <v>6500</v>
      </c>
      <c r="AA311">
        <v>43476</v>
      </c>
      <c r="AB311" t="str">
        <v>SI</v>
      </c>
      <c r="AN311">
        <v>309</v>
      </c>
      <c r="AO311" t="str">
        <v>PROGRAMA</v>
      </c>
      <c r="AP311" t="str">
        <v>CLIENTE-0010</v>
      </c>
      <c r="AQ311">
        <v>800</v>
      </c>
      <c r="AR311" t="str">
        <v>NO</v>
      </c>
    </row>
    <row r="312" spans="1:44">
      <c r="A312" s="2">
        <v>311</v>
      </c>
      <c r="B312" t="s">
        <v>22</v>
      </c>
      <c r="C312" t="s">
        <v>29</v>
      </c>
      <c r="D312" t="s">
        <v>24</v>
      </c>
      <c r="E312" s="3">
        <v>4500</v>
      </c>
      <c r="F312" s="4">
        <v>44060</v>
      </c>
      <c r="G312" s="2" t="s">
        <v>28</v>
      </c>
      <c r="N312">
        <v>381</v>
      </c>
      <c r="O312" t="str">
        <v>EQUIPOS</v>
      </c>
      <c r="P312" t="str">
        <v>CLIENTE-0007</v>
      </c>
      <c r="Q312" t="str">
        <v>BARCELONA</v>
      </c>
      <c r="R312" s="10">
        <v>350</v>
      </c>
      <c r="S312">
        <v>43849</v>
      </c>
      <c r="T312" t="str">
        <v>NO</v>
      </c>
      <c r="V312">
        <v>756</v>
      </c>
      <c r="W312" t="str">
        <v>PROGRAMA</v>
      </c>
      <c r="X312" t="str">
        <v>CLIENTE-0003</v>
      </c>
      <c r="Y312" t="str">
        <v>MADRID</v>
      </c>
      <c r="Z312">
        <v>1200</v>
      </c>
      <c r="AA312">
        <v>43501</v>
      </c>
      <c r="AB312" t="str">
        <v>NO</v>
      </c>
      <c r="AN312">
        <v>310</v>
      </c>
      <c r="AO312" t="str">
        <v>FORMACION</v>
      </c>
      <c r="AP312" t="str">
        <v>CLIENTE-0001</v>
      </c>
      <c r="AQ312">
        <v>750</v>
      </c>
      <c r="AR312" t="str">
        <v>NO</v>
      </c>
    </row>
    <row r="313" spans="1:44">
      <c r="A313" s="2">
        <v>312</v>
      </c>
      <c r="B313" t="s">
        <v>10</v>
      </c>
      <c r="C313" t="s">
        <v>21</v>
      </c>
      <c r="D313" t="s">
        <v>9</v>
      </c>
      <c r="E313" s="3">
        <v>500</v>
      </c>
      <c r="F313" s="4">
        <v>44556</v>
      </c>
      <c r="G313" s="2" t="s">
        <v>12</v>
      </c>
      <c r="N313">
        <v>404</v>
      </c>
      <c r="O313" t="str">
        <v>PROGRAMA</v>
      </c>
      <c r="P313" t="str">
        <v>CLIENTE-0004</v>
      </c>
      <c r="Q313" t="str">
        <v>MADRID</v>
      </c>
      <c r="R313" s="10">
        <v>350</v>
      </c>
      <c r="S313">
        <v>44178</v>
      </c>
      <c r="T313" t="str">
        <v>SI</v>
      </c>
      <c r="V313">
        <v>757</v>
      </c>
      <c r="W313" t="str">
        <v>PROYECTO</v>
      </c>
      <c r="X313" t="str">
        <v>CLIENTE-0004</v>
      </c>
      <c r="Y313" t="str">
        <v>MADRID</v>
      </c>
      <c r="Z313">
        <v>300</v>
      </c>
      <c r="AA313">
        <v>44248</v>
      </c>
      <c r="AB313" t="str">
        <v>NO</v>
      </c>
      <c r="AN313">
        <v>311</v>
      </c>
      <c r="AO313" t="str">
        <v>CONSULTORIA</v>
      </c>
      <c r="AP313" t="str">
        <v>CLIENTE-0002</v>
      </c>
      <c r="AQ313">
        <v>4500</v>
      </c>
      <c r="AR313" t="str">
        <v>NO</v>
      </c>
    </row>
    <row r="314" spans="1:44">
      <c r="A314" s="2">
        <v>313</v>
      </c>
      <c r="B314" t="s">
        <v>13</v>
      </c>
      <c r="C314" t="s">
        <v>11</v>
      </c>
      <c r="D314" t="s">
        <v>9</v>
      </c>
      <c r="E314" s="3">
        <v>750</v>
      </c>
      <c r="F314" s="4">
        <v>43721</v>
      </c>
      <c r="G314" s="2" t="s">
        <v>12</v>
      </c>
      <c r="N314">
        <v>415</v>
      </c>
      <c r="O314" t="str">
        <v>PROYECTO</v>
      </c>
      <c r="P314" t="str">
        <v>CLIENTE-0007</v>
      </c>
      <c r="Q314" t="str">
        <v>BARCELONA</v>
      </c>
      <c r="R314" s="10">
        <v>350</v>
      </c>
      <c r="S314">
        <v>44198</v>
      </c>
      <c r="T314" t="str">
        <v>NO</v>
      </c>
      <c r="V314">
        <v>763</v>
      </c>
      <c r="W314" t="str">
        <v>PROYECTO</v>
      </c>
      <c r="X314" t="str">
        <v>CLIENTE-0010</v>
      </c>
      <c r="Y314" t="str">
        <v>MADRID</v>
      </c>
      <c r="Z314">
        <v>300</v>
      </c>
      <c r="AA314">
        <v>43499</v>
      </c>
      <c r="AB314" t="str">
        <v>SI</v>
      </c>
      <c r="AN314">
        <v>312</v>
      </c>
      <c r="AO314" t="str">
        <v>DESARROLLO</v>
      </c>
      <c r="AP314" t="str">
        <v>CLIENTE-0003</v>
      </c>
      <c r="AQ314">
        <v>500</v>
      </c>
      <c r="AR314" t="str">
        <v>SI</v>
      </c>
    </row>
    <row r="315" spans="1:44">
      <c r="A315" s="2">
        <v>314</v>
      </c>
      <c r="B315" t="s">
        <v>16</v>
      </c>
      <c r="C315" t="s">
        <v>14</v>
      </c>
      <c r="D315" t="s">
        <v>15</v>
      </c>
      <c r="E315" s="3">
        <v>950</v>
      </c>
      <c r="F315" s="4">
        <v>43761</v>
      </c>
      <c r="G315" s="2" t="s">
        <v>12</v>
      </c>
      <c r="N315">
        <v>450</v>
      </c>
      <c r="O315" t="str">
        <v>PROYECTO</v>
      </c>
      <c r="P315" t="str">
        <v>CLIENTE-0005</v>
      </c>
      <c r="Q315" t="str">
        <v>BARCELONA</v>
      </c>
      <c r="R315" s="10">
        <v>350</v>
      </c>
      <c r="S315">
        <v>44044</v>
      </c>
      <c r="T315" t="str">
        <v>SI</v>
      </c>
      <c r="V315">
        <v>764</v>
      </c>
      <c r="W315" t="str">
        <v>EQUIPOS</v>
      </c>
      <c r="X315" t="str">
        <v>CLIENTE-0004</v>
      </c>
      <c r="Y315" t="str">
        <v>MADRID</v>
      </c>
      <c r="Z315">
        <v>120</v>
      </c>
      <c r="AA315">
        <v>43854</v>
      </c>
      <c r="AB315" t="str">
        <v>SI</v>
      </c>
      <c r="AN315">
        <v>313</v>
      </c>
      <c r="AO315" t="str">
        <v>PROYECTO</v>
      </c>
      <c r="AP315" t="str">
        <v>CLIENTE-0004</v>
      </c>
      <c r="AQ315">
        <v>750</v>
      </c>
      <c r="AR315" t="str">
        <v>SI</v>
      </c>
    </row>
    <row r="316" spans="1:44">
      <c r="A316" s="2">
        <v>315</v>
      </c>
      <c r="B316" t="s">
        <v>18</v>
      </c>
      <c r="C316" t="s">
        <v>17</v>
      </c>
      <c r="D316" t="s">
        <v>15</v>
      </c>
      <c r="E316" s="3">
        <v>680</v>
      </c>
      <c r="F316" s="4">
        <v>44266</v>
      </c>
      <c r="G316" s="2" t="s">
        <v>12</v>
      </c>
      <c r="N316">
        <v>473</v>
      </c>
      <c r="O316" t="str">
        <v>DESARROLLO</v>
      </c>
      <c r="P316" t="str">
        <v>CLIENTE-0008</v>
      </c>
      <c r="Q316" t="str">
        <v>ALICANTE</v>
      </c>
      <c r="R316" s="10">
        <v>350</v>
      </c>
      <c r="S316">
        <v>44424</v>
      </c>
      <c r="T316" t="str">
        <v>SI</v>
      </c>
      <c r="V316">
        <v>771</v>
      </c>
      <c r="W316" t="str">
        <v>CONSULTORIA</v>
      </c>
      <c r="X316" t="str">
        <v>CLIENTE-0010</v>
      </c>
      <c r="Y316" t="str">
        <v>MADRID</v>
      </c>
      <c r="Z316">
        <v>120</v>
      </c>
      <c r="AA316">
        <v>43583</v>
      </c>
      <c r="AB316" t="str">
        <v>NO</v>
      </c>
      <c r="AN316">
        <v>314</v>
      </c>
      <c r="AO316" t="str">
        <v>EQUIPOS</v>
      </c>
      <c r="AP316" t="str">
        <v>CLIENTE-0005</v>
      </c>
      <c r="AQ316">
        <v>950</v>
      </c>
      <c r="AR316" t="str">
        <v>SI</v>
      </c>
    </row>
    <row r="317" spans="1:44">
      <c r="A317" s="2">
        <v>316</v>
      </c>
      <c r="B317" t="s">
        <v>20</v>
      </c>
      <c r="C317" t="s">
        <v>19</v>
      </c>
      <c r="D317" t="s">
        <v>15</v>
      </c>
      <c r="E317" s="3">
        <v>950</v>
      </c>
      <c r="F317" s="4">
        <v>43559</v>
      </c>
      <c r="G317" s="2" t="s">
        <v>12</v>
      </c>
      <c r="N317">
        <v>484</v>
      </c>
      <c r="O317" t="str">
        <v>PROYECTO</v>
      </c>
      <c r="P317" t="str">
        <v>CLIENTE-0006</v>
      </c>
      <c r="Q317" t="str">
        <v>BARCELONA</v>
      </c>
      <c r="R317" s="10">
        <v>350</v>
      </c>
      <c r="S317">
        <v>44173</v>
      </c>
      <c r="T317" t="str">
        <v>NO</v>
      </c>
      <c r="V317">
        <v>772</v>
      </c>
      <c r="W317" t="str">
        <v>DESARROLLO</v>
      </c>
      <c r="X317" t="str">
        <v>CLIENTE-0001</v>
      </c>
      <c r="Y317" t="str">
        <v>MADRID</v>
      </c>
      <c r="Z317">
        <v>300</v>
      </c>
      <c r="AA317">
        <v>44365</v>
      </c>
      <c r="AB317" t="str">
        <v>NO</v>
      </c>
      <c r="AN317">
        <v>315</v>
      </c>
      <c r="AO317" t="str">
        <v>PROGRAMA</v>
      </c>
      <c r="AP317" t="str">
        <v>CLIENTE-0006</v>
      </c>
      <c r="AQ317">
        <v>680</v>
      </c>
      <c r="AR317" t="str">
        <v>SI</v>
      </c>
    </row>
    <row r="318" spans="1:44">
      <c r="A318" s="2">
        <v>317</v>
      </c>
      <c r="B318" t="s">
        <v>22</v>
      </c>
      <c r="C318" t="s">
        <v>23</v>
      </c>
      <c r="D318" t="s">
        <v>24</v>
      </c>
      <c r="E318" s="3">
        <v>1500</v>
      </c>
      <c r="F318" s="4">
        <v>44116</v>
      </c>
      <c r="G318" s="2" t="s">
        <v>12</v>
      </c>
      <c r="N318">
        <v>519</v>
      </c>
      <c r="O318" t="str">
        <v>EQUIPOS</v>
      </c>
      <c r="P318" t="str">
        <v>CLIENTE-0009</v>
      </c>
      <c r="Q318" t="str">
        <v>ALICANTE</v>
      </c>
      <c r="R318" s="10">
        <v>350</v>
      </c>
      <c r="S318">
        <v>44389</v>
      </c>
      <c r="T318" t="str">
        <v>SI</v>
      </c>
      <c r="V318">
        <v>773</v>
      </c>
      <c r="W318" t="str">
        <v>PROYECTO</v>
      </c>
      <c r="X318" t="str">
        <v>CLIENTE-0010</v>
      </c>
      <c r="Y318" t="str">
        <v>MADRID</v>
      </c>
      <c r="Z318">
        <v>350</v>
      </c>
      <c r="AA318">
        <v>43743</v>
      </c>
      <c r="AB318" t="str">
        <v>NO</v>
      </c>
      <c r="AN318">
        <v>316</v>
      </c>
      <c r="AO318" t="str">
        <v>FORMACION</v>
      </c>
      <c r="AP318" t="str">
        <v>CLIENTE-0007</v>
      </c>
      <c r="AQ318">
        <v>950</v>
      </c>
      <c r="AR318" t="str">
        <v>SI</v>
      </c>
    </row>
    <row r="319" spans="1:44">
      <c r="A319" s="2">
        <v>318</v>
      </c>
      <c r="B319" t="s">
        <v>10</v>
      </c>
      <c r="C319" t="s">
        <v>25</v>
      </c>
      <c r="D319" t="s">
        <v>24</v>
      </c>
      <c r="E319" s="3">
        <v>5000</v>
      </c>
      <c r="F319" s="4">
        <v>43955</v>
      </c>
      <c r="G319" s="2" t="s">
        <v>12</v>
      </c>
      <c r="N319">
        <v>542</v>
      </c>
      <c r="O319" t="str">
        <v>PROGRAMA</v>
      </c>
      <c r="P319" t="str">
        <v>CLIENTE-0007</v>
      </c>
      <c r="Q319" t="str">
        <v>BARCELONA</v>
      </c>
      <c r="R319" s="10">
        <v>350</v>
      </c>
      <c r="S319">
        <v>44005</v>
      </c>
      <c r="T319" t="str">
        <v>SI</v>
      </c>
      <c r="V319">
        <v>774</v>
      </c>
      <c r="W319" t="str">
        <v>EQUIPOS</v>
      </c>
      <c r="X319" t="str">
        <v>CLIENTE-0001</v>
      </c>
      <c r="Y319" t="str">
        <v>MADRID</v>
      </c>
      <c r="Z319">
        <v>300</v>
      </c>
      <c r="AA319">
        <v>43487</v>
      </c>
      <c r="AB319" t="str">
        <v>NO</v>
      </c>
      <c r="AN319">
        <v>317</v>
      </c>
      <c r="AO319" t="str">
        <v>CONSULTORIA</v>
      </c>
      <c r="AP319" t="str">
        <v>CLIENTE-0008</v>
      </c>
      <c r="AQ319">
        <v>1500</v>
      </c>
      <c r="AR319" t="str">
        <v>SI</v>
      </c>
    </row>
    <row r="320" spans="1:44">
      <c r="A320" s="2">
        <v>319</v>
      </c>
      <c r="B320" t="s">
        <v>13</v>
      </c>
      <c r="C320" t="s">
        <v>26</v>
      </c>
      <c r="D320" t="s">
        <v>9</v>
      </c>
      <c r="E320" s="3">
        <v>6500</v>
      </c>
      <c r="F320" s="4">
        <v>43727</v>
      </c>
      <c r="G320" s="2" t="s">
        <v>28</v>
      </c>
      <c r="N320">
        <v>553</v>
      </c>
      <c r="O320" t="str">
        <v>EQUIPOS</v>
      </c>
      <c r="P320" t="str">
        <v>CLIENTE-0010</v>
      </c>
      <c r="Q320" t="str">
        <v>MADRID</v>
      </c>
      <c r="R320" s="10">
        <v>350</v>
      </c>
      <c r="S320">
        <v>43812</v>
      </c>
      <c r="T320" t="str">
        <v>SI</v>
      </c>
      <c r="V320">
        <v>776</v>
      </c>
      <c r="W320" t="str">
        <v>FORMACION</v>
      </c>
      <c r="X320" t="str">
        <v>CLIENTE-0003</v>
      </c>
      <c r="Y320" t="str">
        <v>MADRID</v>
      </c>
      <c r="Z320">
        <v>150</v>
      </c>
      <c r="AA320">
        <v>43920</v>
      </c>
      <c r="AB320" t="str">
        <v>NO</v>
      </c>
      <c r="AN320">
        <v>318</v>
      </c>
      <c r="AO320" t="str">
        <v>DESARROLLO</v>
      </c>
      <c r="AP320" t="str">
        <v>CLIENTE-0009</v>
      </c>
      <c r="AQ320">
        <v>5000</v>
      </c>
      <c r="AR320" t="str">
        <v>SI</v>
      </c>
    </row>
    <row r="321" spans="1:44">
      <c r="A321" s="2">
        <v>320</v>
      </c>
      <c r="B321" t="s">
        <v>16</v>
      </c>
      <c r="C321" t="s">
        <v>11</v>
      </c>
      <c r="D321" t="s">
        <v>9</v>
      </c>
      <c r="E321" s="3">
        <v>1200</v>
      </c>
      <c r="F321" s="4">
        <v>44358</v>
      </c>
      <c r="G321" s="2" t="s">
        <v>28</v>
      </c>
      <c r="N321">
        <v>588</v>
      </c>
      <c r="O321" t="str">
        <v>EQUIPOS</v>
      </c>
      <c r="P321" t="str">
        <v>CLIENTE-0005</v>
      </c>
      <c r="Q321" t="str">
        <v>BARCELONA</v>
      </c>
      <c r="R321" s="10">
        <v>350</v>
      </c>
      <c r="S321">
        <v>44038</v>
      </c>
      <c r="T321" t="str">
        <v>SI</v>
      </c>
      <c r="V321">
        <v>777</v>
      </c>
      <c r="W321" t="str">
        <v>CONSULTORIA</v>
      </c>
      <c r="X321" t="str">
        <v>CLIENTE-0004</v>
      </c>
      <c r="Y321" t="str">
        <v>MADRID</v>
      </c>
      <c r="Z321">
        <v>1200</v>
      </c>
      <c r="AA321">
        <v>43529</v>
      </c>
      <c r="AB321" t="str">
        <v>NO</v>
      </c>
      <c r="AN321">
        <v>319</v>
      </c>
      <c r="AO321" t="str">
        <v>PROYECTO</v>
      </c>
      <c r="AP321" t="str">
        <v>CLIENTE-0010</v>
      </c>
      <c r="AQ321">
        <v>6500</v>
      </c>
      <c r="AR321" t="str">
        <v>NO</v>
      </c>
    </row>
    <row r="322" spans="1:44">
      <c r="A322" s="2">
        <v>321</v>
      </c>
      <c r="B322" t="s">
        <v>18</v>
      </c>
      <c r="C322" t="s">
        <v>14</v>
      </c>
      <c r="D322" t="s">
        <v>15</v>
      </c>
      <c r="E322" s="3">
        <v>800</v>
      </c>
      <c r="F322" s="4">
        <v>44440</v>
      </c>
      <c r="G322" s="2" t="s">
        <v>28</v>
      </c>
      <c r="N322">
        <v>611</v>
      </c>
      <c r="O322" t="str">
        <v>DESARROLLO</v>
      </c>
      <c r="P322" t="str">
        <v>CLIENTE-0004</v>
      </c>
      <c r="Q322" t="str">
        <v>MADRID</v>
      </c>
      <c r="R322" s="10">
        <v>350</v>
      </c>
      <c r="S322">
        <v>43742</v>
      </c>
      <c r="T322" t="str">
        <v>SI</v>
      </c>
      <c r="AN322">
        <v>320</v>
      </c>
      <c r="AO322" t="str">
        <v>EQUIPOS</v>
      </c>
      <c r="AP322" t="str">
        <v>CLIENTE-0004</v>
      </c>
      <c r="AQ322">
        <v>1200</v>
      </c>
      <c r="AR322" t="str">
        <v>NO</v>
      </c>
    </row>
    <row r="323" spans="1:44">
      <c r="A323" s="2">
        <v>322</v>
      </c>
      <c r="B323" t="s">
        <v>20</v>
      </c>
      <c r="C323" t="s">
        <v>14</v>
      </c>
      <c r="D323" t="s">
        <v>15</v>
      </c>
      <c r="E323" s="3">
        <v>750</v>
      </c>
      <c r="F323" s="4">
        <v>44217</v>
      </c>
      <c r="G323" s="2" t="s">
        <v>28</v>
      </c>
      <c r="N323">
        <v>622</v>
      </c>
      <c r="O323" t="str">
        <v>PROYECTO</v>
      </c>
      <c r="P323" t="str">
        <v>CLIENTE-0002</v>
      </c>
      <c r="Q323" t="str">
        <v>ALICANTE</v>
      </c>
      <c r="R323" s="10">
        <v>350</v>
      </c>
      <c r="S323">
        <v>44132</v>
      </c>
      <c r="T323" t="str">
        <v>NO</v>
      </c>
      <c r="AN323">
        <v>321</v>
      </c>
      <c r="AO323" t="str">
        <v>PROGRAMA</v>
      </c>
      <c r="AP323" t="str">
        <v>CLIENTE-0005</v>
      </c>
      <c r="AQ323">
        <v>800</v>
      </c>
      <c r="AR323" t="str">
        <v>NO</v>
      </c>
    </row>
    <row r="324" spans="1:44">
      <c r="A324" s="2">
        <v>323</v>
      </c>
      <c r="B324" t="s">
        <v>22</v>
      </c>
      <c r="C324" t="s">
        <v>17</v>
      </c>
      <c r="D324" t="s">
        <v>15</v>
      </c>
      <c r="E324" s="3">
        <v>4500</v>
      </c>
      <c r="F324" s="4">
        <v>43593</v>
      </c>
      <c r="G324" s="2" t="s">
        <v>28</v>
      </c>
      <c r="N324">
        <v>655</v>
      </c>
      <c r="O324" t="str">
        <v>DESARROLLO</v>
      </c>
      <c r="P324" t="str">
        <v>CLIENTE-0001</v>
      </c>
      <c r="Q324" t="str">
        <v>MADRID</v>
      </c>
      <c r="R324" s="10">
        <v>350</v>
      </c>
      <c r="S324">
        <v>43961</v>
      </c>
      <c r="T324" t="str">
        <v>SI</v>
      </c>
      <c r="AN324">
        <v>322</v>
      </c>
      <c r="AO324" t="str">
        <v>FORMACION</v>
      </c>
      <c r="AP324" t="str">
        <v>CLIENTE-0005</v>
      </c>
      <c r="AQ324">
        <v>750</v>
      </c>
      <c r="AR324" t="str">
        <v>NO</v>
      </c>
    </row>
    <row r="325" spans="1:44">
      <c r="A325" s="2">
        <v>324</v>
      </c>
      <c r="B325" t="s">
        <v>10</v>
      </c>
      <c r="C325" t="s">
        <v>19</v>
      </c>
      <c r="D325" t="s">
        <v>15</v>
      </c>
      <c r="E325" s="3">
        <v>500</v>
      </c>
      <c r="F325" s="4">
        <v>44424</v>
      </c>
      <c r="G325" s="2" t="s">
        <v>28</v>
      </c>
      <c r="N325">
        <v>666</v>
      </c>
      <c r="O325" t="str">
        <v>CONSULTORIA</v>
      </c>
      <c r="P325" t="str">
        <v>CLIENTE-0001</v>
      </c>
      <c r="Q325" t="str">
        <v>MADRID</v>
      </c>
      <c r="R325" s="10">
        <v>350</v>
      </c>
      <c r="S325">
        <v>44257</v>
      </c>
      <c r="T325" t="str">
        <v>SI</v>
      </c>
      <c r="AN325">
        <v>323</v>
      </c>
      <c r="AO325" t="str">
        <v>CONSULTORIA</v>
      </c>
      <c r="AP325" t="str">
        <v>CLIENTE-0006</v>
      </c>
      <c r="AQ325">
        <v>4500</v>
      </c>
      <c r="AR325" t="str">
        <v>NO</v>
      </c>
    </row>
    <row r="326" spans="1:44">
      <c r="A326" s="2">
        <v>325</v>
      </c>
      <c r="B326" t="s">
        <v>13</v>
      </c>
      <c r="C326" t="s">
        <v>23</v>
      </c>
      <c r="D326" t="s">
        <v>24</v>
      </c>
      <c r="E326" s="3">
        <v>750</v>
      </c>
      <c r="F326" s="4">
        <v>44116</v>
      </c>
      <c r="G326" s="2" t="s">
        <v>12</v>
      </c>
      <c r="N326">
        <v>674</v>
      </c>
      <c r="O326" t="str">
        <v>DESARROLLO</v>
      </c>
      <c r="P326" t="str">
        <v>CLIENTE-0007</v>
      </c>
      <c r="Q326" t="str">
        <v>BARCELONA</v>
      </c>
      <c r="R326" s="10">
        <v>350</v>
      </c>
      <c r="S326">
        <v>44342</v>
      </c>
      <c r="T326" t="str">
        <v>NO</v>
      </c>
      <c r="AN326">
        <v>324</v>
      </c>
      <c r="AO326" t="str">
        <v>DESARROLLO</v>
      </c>
      <c r="AP326" t="str">
        <v>CLIENTE-0007</v>
      </c>
      <c r="AQ326">
        <v>500</v>
      </c>
      <c r="AR326" t="str">
        <v>NO</v>
      </c>
    </row>
    <row r="327" spans="1:44">
      <c r="A327" s="2">
        <v>326</v>
      </c>
      <c r="B327" t="s">
        <v>16</v>
      </c>
      <c r="C327" t="s">
        <v>25</v>
      </c>
      <c r="D327" t="s">
        <v>24</v>
      </c>
      <c r="E327" s="3">
        <v>950</v>
      </c>
      <c r="F327" s="4">
        <v>43611</v>
      </c>
      <c r="G327" s="2" t="s">
        <v>12</v>
      </c>
      <c r="N327">
        <v>697</v>
      </c>
      <c r="O327" t="str">
        <v>PROYECTO</v>
      </c>
      <c r="P327" t="str">
        <v>CLIENTE-0005</v>
      </c>
      <c r="Q327" t="str">
        <v>BARCELONA</v>
      </c>
      <c r="R327" s="10">
        <v>350</v>
      </c>
      <c r="S327">
        <v>44518</v>
      </c>
      <c r="T327" t="str">
        <v>SI</v>
      </c>
      <c r="AN327">
        <v>325</v>
      </c>
      <c r="AO327" t="str">
        <v>PROYECTO</v>
      </c>
      <c r="AP327" t="str">
        <v>CLIENTE-0008</v>
      </c>
      <c r="AQ327">
        <v>750</v>
      </c>
      <c r="AR327" t="str">
        <v>SI</v>
      </c>
    </row>
    <row r="328" spans="1:44">
      <c r="A328" s="2">
        <v>327</v>
      </c>
      <c r="B328" t="s">
        <v>18</v>
      </c>
      <c r="C328" t="s">
        <v>26</v>
      </c>
      <c r="D328" t="s">
        <v>9</v>
      </c>
      <c r="E328" s="3">
        <v>680</v>
      </c>
      <c r="F328" s="4">
        <v>44302</v>
      </c>
      <c r="G328" s="2" t="s">
        <v>12</v>
      </c>
      <c r="N328">
        <v>708</v>
      </c>
      <c r="O328" t="str">
        <v>DESARROLLO</v>
      </c>
      <c r="P328" t="str">
        <v>CLIENTE-0008</v>
      </c>
      <c r="Q328" t="str">
        <v>ALICANTE</v>
      </c>
      <c r="R328" s="10">
        <v>350</v>
      </c>
      <c r="S328">
        <v>43905</v>
      </c>
      <c r="T328" t="str">
        <v>SI</v>
      </c>
      <c r="AN328">
        <v>326</v>
      </c>
      <c r="AO328" t="str">
        <v>EQUIPOS</v>
      </c>
      <c r="AP328" t="str">
        <v>CLIENTE-0009</v>
      </c>
      <c r="AQ328">
        <v>950</v>
      </c>
      <c r="AR328" t="str">
        <v>SI</v>
      </c>
    </row>
    <row r="329" spans="1:44">
      <c r="A329" s="2">
        <v>328</v>
      </c>
      <c r="B329" t="s">
        <v>20</v>
      </c>
      <c r="C329" t="s">
        <v>27</v>
      </c>
      <c r="D329" t="s">
        <v>9</v>
      </c>
      <c r="E329" s="3">
        <v>950</v>
      </c>
      <c r="F329" s="4">
        <v>44411</v>
      </c>
      <c r="G329" s="2" t="s">
        <v>12</v>
      </c>
      <c r="N329">
        <v>731</v>
      </c>
      <c r="O329" t="str">
        <v>DESARROLLO</v>
      </c>
      <c r="P329" t="str">
        <v>CLIENTE-0007</v>
      </c>
      <c r="Q329" t="str">
        <v>BARCELONA</v>
      </c>
      <c r="R329" s="10">
        <v>350</v>
      </c>
      <c r="S329">
        <v>43501</v>
      </c>
      <c r="T329" t="str">
        <v>SI</v>
      </c>
      <c r="AN329">
        <v>327</v>
      </c>
      <c r="AO329" t="str">
        <v>PROGRAMA</v>
      </c>
      <c r="AP329" t="str">
        <v>CLIENTE-0010</v>
      </c>
      <c r="AQ329">
        <v>680</v>
      </c>
      <c r="AR329" t="str">
        <v>SI</v>
      </c>
    </row>
    <row r="330" spans="1:44">
      <c r="A330" s="2">
        <v>329</v>
      </c>
      <c r="B330" t="s">
        <v>22</v>
      </c>
      <c r="C330" t="s">
        <v>26</v>
      </c>
      <c r="D330" t="s">
        <v>9</v>
      </c>
      <c r="E330" s="3">
        <v>1500</v>
      </c>
      <c r="F330" s="4">
        <v>43797</v>
      </c>
      <c r="G330" s="2" t="s">
        <v>12</v>
      </c>
      <c r="N330">
        <v>739</v>
      </c>
      <c r="O330" t="str">
        <v>EQUIPOS</v>
      </c>
      <c r="P330" t="str">
        <v>CLIENTE-0007</v>
      </c>
      <c r="Q330" t="str">
        <v>BARCELONA</v>
      </c>
      <c r="R330" s="10">
        <v>350</v>
      </c>
      <c r="S330">
        <v>43629</v>
      </c>
      <c r="T330" t="str">
        <v>SI</v>
      </c>
      <c r="AN330">
        <v>328</v>
      </c>
      <c r="AO330" t="str">
        <v>FORMACION</v>
      </c>
      <c r="AP330" t="str">
        <v>CLIENTE-0001</v>
      </c>
      <c r="AQ330">
        <v>950</v>
      </c>
      <c r="AR330" t="str">
        <v>SI</v>
      </c>
    </row>
    <row r="331" spans="1:44">
      <c r="A331" s="2">
        <v>330</v>
      </c>
      <c r="B331" t="s">
        <v>10</v>
      </c>
      <c r="C331" t="s">
        <v>27</v>
      </c>
      <c r="D331" t="s">
        <v>9</v>
      </c>
      <c r="E331" s="3">
        <v>5000</v>
      </c>
      <c r="F331" s="4">
        <v>44459</v>
      </c>
      <c r="G331" s="2" t="s">
        <v>12</v>
      </c>
      <c r="N331">
        <v>762</v>
      </c>
      <c r="O331" t="str">
        <v>DESARROLLO</v>
      </c>
      <c r="P331" t="str">
        <v>CLIENTE-0009</v>
      </c>
      <c r="Q331" t="str">
        <v>ALICANTE</v>
      </c>
      <c r="R331" s="10">
        <v>350</v>
      </c>
      <c r="S331">
        <v>43794</v>
      </c>
      <c r="T331" t="str">
        <v>SI</v>
      </c>
      <c r="AN331">
        <v>329</v>
      </c>
      <c r="AO331" t="str">
        <v>CONSULTORIA</v>
      </c>
      <c r="AP331" t="str">
        <v>CLIENTE-0010</v>
      </c>
      <c r="AQ331">
        <v>1500</v>
      </c>
      <c r="AR331" t="str">
        <v>SI</v>
      </c>
    </row>
    <row r="332" spans="1:44">
      <c r="A332" s="2">
        <v>331</v>
      </c>
      <c r="B332" t="s">
        <v>13</v>
      </c>
      <c r="C332" t="s">
        <v>29</v>
      </c>
      <c r="D332" t="s">
        <v>24</v>
      </c>
      <c r="E332" s="3">
        <v>6500</v>
      </c>
      <c r="F332" s="4">
        <v>43798</v>
      </c>
      <c r="G332" s="2" t="s">
        <v>12</v>
      </c>
      <c r="N332">
        <v>773</v>
      </c>
      <c r="O332" t="str">
        <v>PROYECTO</v>
      </c>
      <c r="P332" t="str">
        <v>CLIENTE-0010</v>
      </c>
      <c r="Q332" t="str">
        <v>MADRID</v>
      </c>
      <c r="R332" s="10">
        <v>350</v>
      </c>
      <c r="S332">
        <v>43743</v>
      </c>
      <c r="T332" t="str">
        <v>NO</v>
      </c>
      <c r="AN332">
        <v>330</v>
      </c>
      <c r="AO332" t="str">
        <v>DESARROLLO</v>
      </c>
      <c r="AP332" t="str">
        <v>CLIENTE-0001</v>
      </c>
      <c r="AQ332">
        <v>5000</v>
      </c>
      <c r="AR332" t="str">
        <v>SI</v>
      </c>
    </row>
    <row r="333" spans="1:44">
      <c r="A333" s="2">
        <v>332</v>
      </c>
      <c r="B333" t="s">
        <v>16</v>
      </c>
      <c r="C333" t="s">
        <v>21</v>
      </c>
      <c r="D333" t="s">
        <v>9</v>
      </c>
      <c r="E333" s="3">
        <v>8500</v>
      </c>
      <c r="F333" s="4">
        <v>43779</v>
      </c>
      <c r="G333" s="2" t="s">
        <v>12</v>
      </c>
      <c r="N333">
        <v>5</v>
      </c>
      <c r="O333" t="str">
        <v>FORMACION</v>
      </c>
      <c r="P333" t="str">
        <v>CLIENTE-0003</v>
      </c>
      <c r="Q333" t="str">
        <v>MADRID</v>
      </c>
      <c r="R333" s="10">
        <v>500</v>
      </c>
      <c r="S333">
        <v>43785</v>
      </c>
      <c r="T333" t="str">
        <v>SI</v>
      </c>
      <c r="AN333">
        <v>331</v>
      </c>
      <c r="AO333" t="str">
        <v>PROYECTO</v>
      </c>
      <c r="AP333" t="str">
        <v>CLIENTE-0002</v>
      </c>
      <c r="AQ333">
        <v>6500</v>
      </c>
      <c r="AR333" t="str">
        <v>SI</v>
      </c>
    </row>
    <row r="334" spans="1:44">
      <c r="A334" s="2">
        <v>333</v>
      </c>
      <c r="B334" t="s">
        <v>22</v>
      </c>
      <c r="C334" t="s">
        <v>11</v>
      </c>
      <c r="D334" t="s">
        <v>9</v>
      </c>
      <c r="E334" s="3">
        <v>1200</v>
      </c>
      <c r="F334" s="4">
        <v>43879</v>
      </c>
      <c r="G334" s="2" t="s">
        <v>12</v>
      </c>
      <c r="N334">
        <v>28</v>
      </c>
      <c r="O334" t="str">
        <v>EQUIPOS</v>
      </c>
      <c r="P334" t="str">
        <v>CLIENTE-0005</v>
      </c>
      <c r="Q334" t="str">
        <v>BARCELONA</v>
      </c>
      <c r="R334" s="10">
        <v>500</v>
      </c>
      <c r="S334">
        <v>44322</v>
      </c>
      <c r="T334" t="str">
        <v>SI</v>
      </c>
      <c r="AN334">
        <v>332</v>
      </c>
      <c r="AO334" t="str">
        <v>EQUIPOS</v>
      </c>
      <c r="AP334" t="str">
        <v>CLIENTE-0003</v>
      </c>
      <c r="AQ334">
        <v>8500</v>
      </c>
      <c r="AR334" t="str">
        <v>SI</v>
      </c>
    </row>
    <row r="335" spans="1:44">
      <c r="A335" s="2">
        <v>334</v>
      </c>
      <c r="B335" t="s">
        <v>10</v>
      </c>
      <c r="C335" t="s">
        <v>14</v>
      </c>
      <c r="D335" t="s">
        <v>15</v>
      </c>
      <c r="E335" s="3">
        <v>300</v>
      </c>
      <c r="F335" s="4">
        <v>44310</v>
      </c>
      <c r="G335" s="2" t="s">
        <v>12</v>
      </c>
      <c r="N335">
        <v>62</v>
      </c>
      <c r="O335" t="str">
        <v>EQUIPOS</v>
      </c>
      <c r="P335" t="str">
        <v>CLIENTE-0002</v>
      </c>
      <c r="Q335" t="str">
        <v>ALICANTE</v>
      </c>
      <c r="R335" s="10">
        <v>500</v>
      </c>
      <c r="S335">
        <v>43956</v>
      </c>
      <c r="T335" t="str">
        <v>NO</v>
      </c>
      <c r="AN335">
        <v>333</v>
      </c>
      <c r="AO335" t="str">
        <v>CONSULTORIA</v>
      </c>
      <c r="AP335" t="str">
        <v>CLIENTE-0004</v>
      </c>
      <c r="AQ335">
        <v>1200</v>
      </c>
      <c r="AR335" t="str">
        <v>SI</v>
      </c>
    </row>
    <row r="336" spans="1:44">
      <c r="A336" s="2">
        <v>335</v>
      </c>
      <c r="B336" t="s">
        <v>13</v>
      </c>
      <c r="C336" t="s">
        <v>17</v>
      </c>
      <c r="D336" t="s">
        <v>15</v>
      </c>
      <c r="E336" s="3">
        <v>200</v>
      </c>
      <c r="F336" s="4">
        <v>44190</v>
      </c>
      <c r="G336" s="2" t="s">
        <v>12</v>
      </c>
      <c r="N336">
        <v>74</v>
      </c>
      <c r="O336" t="str">
        <v>FORMACION</v>
      </c>
      <c r="P336" t="str">
        <v>CLIENTE-0006</v>
      </c>
      <c r="Q336" t="str">
        <v>BARCELONA</v>
      </c>
      <c r="R336" s="10">
        <v>500</v>
      </c>
      <c r="S336">
        <v>44016</v>
      </c>
      <c r="T336" t="str">
        <v>SI</v>
      </c>
      <c r="AN336">
        <v>334</v>
      </c>
      <c r="AO336" t="str">
        <v>DESARROLLO</v>
      </c>
      <c r="AP336" t="str">
        <v>CLIENTE-0005</v>
      </c>
      <c r="AQ336">
        <v>300</v>
      </c>
      <c r="AR336" t="str">
        <v>SI</v>
      </c>
    </row>
    <row r="337" spans="1:44">
      <c r="A337" s="2">
        <v>336</v>
      </c>
      <c r="B337" t="s">
        <v>16</v>
      </c>
      <c r="C337" t="s">
        <v>19</v>
      </c>
      <c r="D337" t="s">
        <v>15</v>
      </c>
      <c r="E337" s="3">
        <v>150</v>
      </c>
      <c r="F337" s="4">
        <v>44401</v>
      </c>
      <c r="G337" s="2" t="s">
        <v>12</v>
      </c>
      <c r="N337">
        <v>97</v>
      </c>
      <c r="O337" t="str">
        <v>EQUIPOS</v>
      </c>
      <c r="P337" t="str">
        <v>CLIENTE-0005</v>
      </c>
      <c r="Q337" t="str">
        <v>BARCELONA</v>
      </c>
      <c r="R337" s="10">
        <v>500</v>
      </c>
      <c r="S337">
        <v>43785</v>
      </c>
      <c r="T337" t="str">
        <v>SI</v>
      </c>
      <c r="AN337">
        <v>335</v>
      </c>
      <c r="AO337" t="str">
        <v>PROYECTO</v>
      </c>
      <c r="AP337" t="str">
        <v>CLIENTE-0006</v>
      </c>
      <c r="AQ337">
        <v>200</v>
      </c>
      <c r="AR337" t="str">
        <v>SI</v>
      </c>
    </row>
    <row r="338" spans="1:44">
      <c r="A338" s="2">
        <v>337</v>
      </c>
      <c r="B338" t="s">
        <v>18</v>
      </c>
      <c r="C338" t="s">
        <v>23</v>
      </c>
      <c r="D338" t="s">
        <v>24</v>
      </c>
      <c r="E338" s="3">
        <v>120</v>
      </c>
      <c r="F338" s="4">
        <v>43586</v>
      </c>
      <c r="G338" s="2" t="s">
        <v>12</v>
      </c>
      <c r="N338">
        <v>131</v>
      </c>
      <c r="O338" t="str">
        <v>PROYECTO</v>
      </c>
      <c r="P338" t="str">
        <v>CLIENTE-0006</v>
      </c>
      <c r="Q338" t="str">
        <v>BARCELONA</v>
      </c>
      <c r="R338" s="10">
        <v>500</v>
      </c>
      <c r="S338">
        <v>43918</v>
      </c>
      <c r="T338" t="str">
        <v>SI</v>
      </c>
      <c r="AN338">
        <v>336</v>
      </c>
      <c r="AO338" t="str">
        <v>EQUIPOS</v>
      </c>
      <c r="AP338" t="str">
        <v>CLIENTE-0007</v>
      </c>
      <c r="AQ338">
        <v>150</v>
      </c>
      <c r="AR338" t="str">
        <v>SI</v>
      </c>
    </row>
    <row r="339" spans="1:44">
      <c r="A339" s="2">
        <v>338</v>
      </c>
      <c r="B339" t="s">
        <v>20</v>
      </c>
      <c r="C339" t="s">
        <v>25</v>
      </c>
      <c r="D339" t="s">
        <v>24</v>
      </c>
      <c r="E339" s="3">
        <v>300</v>
      </c>
      <c r="F339" s="4">
        <v>43836</v>
      </c>
      <c r="G339" s="2" t="s">
        <v>12</v>
      </c>
      <c r="N339">
        <v>143</v>
      </c>
      <c r="O339" t="str">
        <v>PROYECTO</v>
      </c>
      <c r="P339" t="str">
        <v>CLIENTE-0005</v>
      </c>
      <c r="Q339" t="str">
        <v>BARCELONA</v>
      </c>
      <c r="R339" s="10">
        <v>500</v>
      </c>
      <c r="S339">
        <v>43906</v>
      </c>
      <c r="T339" t="str">
        <v>NO</v>
      </c>
      <c r="AN339">
        <v>337</v>
      </c>
      <c r="AO339" t="str">
        <v>PROGRAMA</v>
      </c>
      <c r="AP339" t="str">
        <v>CLIENTE-0008</v>
      </c>
      <c r="AQ339">
        <v>120</v>
      </c>
      <c r="AR339" t="str">
        <v>SI</v>
      </c>
    </row>
    <row r="340" spans="1:44">
      <c r="A340" s="2">
        <v>339</v>
      </c>
      <c r="B340" t="s">
        <v>22</v>
      </c>
      <c r="C340" t="s">
        <v>26</v>
      </c>
      <c r="D340" t="s">
        <v>9</v>
      </c>
      <c r="E340" s="3">
        <v>350</v>
      </c>
      <c r="F340" s="4">
        <v>43734</v>
      </c>
      <c r="G340" s="2" t="s">
        <v>12</v>
      </c>
      <c r="N340">
        <v>166</v>
      </c>
      <c r="O340" t="str">
        <v>EQUIPOS</v>
      </c>
      <c r="P340" t="str">
        <v>CLIENTE-0008</v>
      </c>
      <c r="Q340" t="str">
        <v>ALICANTE</v>
      </c>
      <c r="R340" s="10">
        <v>500</v>
      </c>
      <c r="S340">
        <v>43539</v>
      </c>
      <c r="T340" t="str">
        <v>SI</v>
      </c>
      <c r="AN340">
        <v>338</v>
      </c>
      <c r="AO340" t="str">
        <v>FORMACION</v>
      </c>
      <c r="AP340" t="str">
        <v>CLIENTE-0009</v>
      </c>
      <c r="AQ340">
        <v>300</v>
      </c>
      <c r="AR340" t="str">
        <v>SI</v>
      </c>
    </row>
    <row r="341" spans="1:44">
      <c r="A341" s="2">
        <v>340</v>
      </c>
      <c r="B341" t="s">
        <v>10</v>
      </c>
      <c r="C341" t="s">
        <v>11</v>
      </c>
      <c r="D341" t="s">
        <v>9</v>
      </c>
      <c r="E341" s="3">
        <v>300</v>
      </c>
      <c r="F341" s="4">
        <v>44155</v>
      </c>
      <c r="G341" s="2" t="s">
        <v>12</v>
      </c>
      <c r="N341">
        <v>200</v>
      </c>
      <c r="O341" t="str">
        <v>PROYECTO</v>
      </c>
      <c r="P341" t="str">
        <v>CLIENTE-0010</v>
      </c>
      <c r="Q341" t="str">
        <v>MADRID</v>
      </c>
      <c r="R341" s="10">
        <v>500</v>
      </c>
      <c r="S341">
        <v>43583</v>
      </c>
      <c r="T341" t="str">
        <v>SI</v>
      </c>
      <c r="AN341">
        <v>339</v>
      </c>
      <c r="AO341" t="str">
        <v>CONSULTORIA</v>
      </c>
      <c r="AP341" t="str">
        <v>CLIENTE-0010</v>
      </c>
      <c r="AQ341">
        <v>350</v>
      </c>
      <c r="AR341" t="str">
        <v>SI</v>
      </c>
    </row>
    <row r="342" spans="1:44">
      <c r="A342" s="2">
        <v>341</v>
      </c>
      <c r="B342" t="s">
        <v>13</v>
      </c>
      <c r="C342" t="s">
        <v>14</v>
      </c>
      <c r="D342" t="s">
        <v>15</v>
      </c>
      <c r="E342" s="3">
        <v>120</v>
      </c>
      <c r="F342" s="4">
        <v>43836</v>
      </c>
      <c r="G342" s="2" t="s">
        <v>12</v>
      </c>
      <c r="N342">
        <v>212</v>
      </c>
      <c r="O342" t="str">
        <v>DESARROLLO</v>
      </c>
      <c r="P342" t="str">
        <v>CLIENTE-0002</v>
      </c>
      <c r="Q342" t="str">
        <v>ALICANTE</v>
      </c>
      <c r="R342" s="10">
        <v>500</v>
      </c>
      <c r="S342">
        <v>43600</v>
      </c>
      <c r="T342" t="str">
        <v>NO</v>
      </c>
      <c r="AN342">
        <v>340</v>
      </c>
      <c r="AO342" t="str">
        <v>DESARROLLO</v>
      </c>
      <c r="AP342" t="str">
        <v>CLIENTE-0004</v>
      </c>
      <c r="AQ342">
        <v>300</v>
      </c>
      <c r="AR342" t="str">
        <v>SI</v>
      </c>
    </row>
    <row r="343" spans="1:44">
      <c r="A343" s="2">
        <v>342</v>
      </c>
      <c r="B343" t="s">
        <v>16</v>
      </c>
      <c r="C343" t="s">
        <v>17</v>
      </c>
      <c r="D343" t="s">
        <v>15</v>
      </c>
      <c r="E343" s="3">
        <v>150</v>
      </c>
      <c r="F343" s="4">
        <v>43778</v>
      </c>
      <c r="G343" s="2" t="s">
        <v>12</v>
      </c>
      <c r="N343">
        <v>235</v>
      </c>
      <c r="O343" t="str">
        <v>CONSULTORIA</v>
      </c>
      <c r="P343" t="str">
        <v>CLIENTE-0010</v>
      </c>
      <c r="Q343" t="str">
        <v>MADRID</v>
      </c>
      <c r="R343" s="10">
        <v>500</v>
      </c>
      <c r="S343">
        <v>44424</v>
      </c>
      <c r="T343" t="str">
        <v>SI</v>
      </c>
      <c r="AN343">
        <v>341</v>
      </c>
      <c r="AO343" t="str">
        <v>PROYECTO</v>
      </c>
      <c r="AP343" t="str">
        <v>CLIENTE-0005</v>
      </c>
      <c r="AQ343">
        <v>120</v>
      </c>
      <c r="AR343" t="str">
        <v>SI</v>
      </c>
    </row>
    <row r="344" spans="1:44">
      <c r="A344" s="2">
        <v>343</v>
      </c>
      <c r="B344" t="s">
        <v>18</v>
      </c>
      <c r="C344" t="s">
        <v>19</v>
      </c>
      <c r="D344" t="s">
        <v>15</v>
      </c>
      <c r="E344" s="3">
        <v>1200</v>
      </c>
      <c r="F344" s="4">
        <v>43881</v>
      </c>
      <c r="G344" s="2" t="s">
        <v>12</v>
      </c>
      <c r="N344">
        <v>269</v>
      </c>
      <c r="O344" t="str">
        <v>FORMACION</v>
      </c>
      <c r="P344" t="str">
        <v>CLIENTE-0010</v>
      </c>
      <c r="Q344" t="str">
        <v>MADRID</v>
      </c>
      <c r="R344" s="10">
        <v>500</v>
      </c>
      <c r="S344">
        <v>43930</v>
      </c>
      <c r="T344" t="str">
        <v>SI</v>
      </c>
      <c r="AN344">
        <v>342</v>
      </c>
      <c r="AO344" t="str">
        <v>EQUIPOS</v>
      </c>
      <c r="AP344" t="str">
        <v>CLIENTE-0006</v>
      </c>
      <c r="AQ344">
        <v>150</v>
      </c>
      <c r="AR344" t="str">
        <v>SI</v>
      </c>
    </row>
    <row r="345" spans="1:44">
      <c r="A345" s="2">
        <v>344</v>
      </c>
      <c r="B345" t="s">
        <v>20</v>
      </c>
      <c r="C345" t="s">
        <v>21</v>
      </c>
      <c r="D345" t="s">
        <v>9</v>
      </c>
      <c r="E345" s="3">
        <v>800</v>
      </c>
      <c r="F345" s="4">
        <v>43485</v>
      </c>
      <c r="G345" s="2" t="s">
        <v>12</v>
      </c>
      <c r="N345">
        <v>278</v>
      </c>
      <c r="O345" t="str">
        <v>PROYECTO</v>
      </c>
      <c r="P345" t="str">
        <v>CLIENTE-0009</v>
      </c>
      <c r="Q345" t="str">
        <v>ALICANTE</v>
      </c>
      <c r="R345" s="10">
        <v>500</v>
      </c>
      <c r="S345">
        <v>43811</v>
      </c>
      <c r="T345" t="str">
        <v>NO</v>
      </c>
      <c r="AN345">
        <v>343</v>
      </c>
      <c r="AO345" t="str">
        <v>PROGRAMA</v>
      </c>
      <c r="AP345" t="str">
        <v>CLIENTE-0007</v>
      </c>
      <c r="AQ345">
        <v>1200</v>
      </c>
      <c r="AR345" t="str">
        <v>SI</v>
      </c>
    </row>
    <row r="346" spans="1:44">
      <c r="A346" s="2">
        <v>345</v>
      </c>
      <c r="B346" t="s">
        <v>22</v>
      </c>
      <c r="C346" t="s">
        <v>11</v>
      </c>
      <c r="D346" t="s">
        <v>9</v>
      </c>
      <c r="E346" s="3">
        <v>750</v>
      </c>
      <c r="F346" s="4">
        <v>43697</v>
      </c>
      <c r="G346" s="2" t="s">
        <v>12</v>
      </c>
      <c r="N346">
        <v>312</v>
      </c>
      <c r="O346" t="str">
        <v>DESARROLLO</v>
      </c>
      <c r="P346" t="str">
        <v>CLIENTE-0003</v>
      </c>
      <c r="Q346" t="str">
        <v>MADRID</v>
      </c>
      <c r="R346" s="10">
        <v>500</v>
      </c>
      <c r="S346">
        <v>44556</v>
      </c>
      <c r="T346" t="str">
        <v>SI</v>
      </c>
      <c r="AN346">
        <v>344</v>
      </c>
      <c r="AO346" t="str">
        <v>FORMACION</v>
      </c>
      <c r="AP346" t="str">
        <v>CLIENTE-0003</v>
      </c>
      <c r="AQ346">
        <v>800</v>
      </c>
      <c r="AR346" t="str">
        <v>SI</v>
      </c>
    </row>
    <row r="347" spans="1:44">
      <c r="A347" s="2">
        <v>346</v>
      </c>
      <c r="B347" t="s">
        <v>10</v>
      </c>
      <c r="C347" t="s">
        <v>14</v>
      </c>
      <c r="D347" t="s">
        <v>15</v>
      </c>
      <c r="E347" s="3">
        <v>4500</v>
      </c>
      <c r="F347" s="4">
        <v>44525</v>
      </c>
      <c r="G347" s="2" t="s">
        <v>28</v>
      </c>
      <c r="N347">
        <v>324</v>
      </c>
      <c r="O347" t="str">
        <v>DESARROLLO</v>
      </c>
      <c r="P347" t="str">
        <v>CLIENTE-0007</v>
      </c>
      <c r="Q347" t="str">
        <v>BARCELONA</v>
      </c>
      <c r="R347" s="10">
        <v>500</v>
      </c>
      <c r="S347">
        <v>44424</v>
      </c>
      <c r="T347" t="str">
        <v>NO</v>
      </c>
      <c r="AN347">
        <v>345</v>
      </c>
      <c r="AO347" t="str">
        <v>CONSULTORIA</v>
      </c>
      <c r="AP347" t="str">
        <v>CLIENTE-0004</v>
      </c>
      <c r="AQ347">
        <v>750</v>
      </c>
      <c r="AR347" t="str">
        <v>SI</v>
      </c>
    </row>
    <row r="348" spans="1:44">
      <c r="A348" s="2">
        <v>347</v>
      </c>
      <c r="B348" t="s">
        <v>13</v>
      </c>
      <c r="C348" t="s">
        <v>14</v>
      </c>
      <c r="D348" t="s">
        <v>15</v>
      </c>
      <c r="E348" s="3">
        <v>500</v>
      </c>
      <c r="F348" s="4">
        <v>44319</v>
      </c>
      <c r="G348" s="2" t="s">
        <v>28</v>
      </c>
      <c r="N348">
        <v>347</v>
      </c>
      <c r="O348" t="str">
        <v>PROYECTO</v>
      </c>
      <c r="P348" t="str">
        <v>CLIENTE-0005</v>
      </c>
      <c r="Q348" t="str">
        <v>BARCELONA</v>
      </c>
      <c r="R348" s="10">
        <v>500</v>
      </c>
      <c r="S348">
        <v>44319</v>
      </c>
      <c r="T348" t="str">
        <v>NO</v>
      </c>
      <c r="AN348">
        <v>346</v>
      </c>
      <c r="AO348" t="str">
        <v>DESARROLLO</v>
      </c>
      <c r="AP348" t="str">
        <v>CLIENTE-0005</v>
      </c>
      <c r="AQ348">
        <v>4500</v>
      </c>
      <c r="AR348" t="str">
        <v>NO</v>
      </c>
    </row>
    <row r="349" spans="1:44">
      <c r="A349" s="2">
        <v>348</v>
      </c>
      <c r="B349" t="s">
        <v>16</v>
      </c>
      <c r="C349" t="s">
        <v>17</v>
      </c>
      <c r="D349" t="s">
        <v>15</v>
      </c>
      <c r="E349" s="3">
        <v>750</v>
      </c>
      <c r="F349" s="4">
        <v>44556</v>
      </c>
      <c r="G349" s="2" t="s">
        <v>28</v>
      </c>
      <c r="N349">
        <v>389</v>
      </c>
      <c r="O349" t="str">
        <v>FORMACION</v>
      </c>
      <c r="P349" t="str">
        <v>CLIENTE-0007</v>
      </c>
      <c r="Q349" t="str">
        <v>BARCELONA</v>
      </c>
      <c r="R349" s="10">
        <v>500</v>
      </c>
      <c r="S349">
        <v>44101</v>
      </c>
      <c r="T349" t="str">
        <v>SI</v>
      </c>
      <c r="AN349">
        <v>347</v>
      </c>
      <c r="AO349" t="str">
        <v>PROYECTO</v>
      </c>
      <c r="AP349" t="str">
        <v>CLIENTE-0005</v>
      </c>
      <c r="AQ349">
        <v>500</v>
      </c>
      <c r="AR349" t="str">
        <v>NO</v>
      </c>
    </row>
    <row r="350" spans="1:44">
      <c r="A350" s="2">
        <v>349</v>
      </c>
      <c r="B350" t="s">
        <v>18</v>
      </c>
      <c r="C350" t="s">
        <v>19</v>
      </c>
      <c r="D350" t="s">
        <v>15</v>
      </c>
      <c r="E350" s="3">
        <v>950</v>
      </c>
      <c r="F350" s="4">
        <v>43778</v>
      </c>
      <c r="G350" s="2" t="s">
        <v>28</v>
      </c>
      <c r="N350">
        <v>423</v>
      </c>
      <c r="O350" t="str">
        <v>PROGRAMA</v>
      </c>
      <c r="P350" t="str">
        <v>CLIENTE-0003</v>
      </c>
      <c r="Q350" t="str">
        <v>MADRID</v>
      </c>
      <c r="R350" s="10">
        <v>500</v>
      </c>
      <c r="S350">
        <v>44208</v>
      </c>
      <c r="T350" t="str">
        <v>SI</v>
      </c>
      <c r="AN350">
        <v>348</v>
      </c>
      <c r="AO350" t="str">
        <v>EQUIPOS</v>
      </c>
      <c r="AP350" t="str">
        <v>CLIENTE-0006</v>
      </c>
      <c r="AQ350">
        <v>750</v>
      </c>
      <c r="AR350" t="str">
        <v>NO</v>
      </c>
    </row>
    <row r="351" spans="1:44">
      <c r="A351" s="2">
        <v>350</v>
      </c>
      <c r="B351" t="s">
        <v>20</v>
      </c>
      <c r="C351" t="s">
        <v>23</v>
      </c>
      <c r="D351" t="s">
        <v>24</v>
      </c>
      <c r="E351" s="3">
        <v>680</v>
      </c>
      <c r="F351" s="4">
        <v>44198</v>
      </c>
      <c r="G351" s="2" t="s">
        <v>28</v>
      </c>
      <c r="N351">
        <v>435</v>
      </c>
      <c r="O351" t="str">
        <v>CONSULTORIA</v>
      </c>
      <c r="P351" t="str">
        <v>CLIENTE-0003</v>
      </c>
      <c r="Q351" t="str">
        <v>MADRID</v>
      </c>
      <c r="R351" s="10">
        <v>500</v>
      </c>
      <c r="S351">
        <v>44526</v>
      </c>
      <c r="T351" t="str">
        <v>SI</v>
      </c>
      <c r="AN351">
        <v>349</v>
      </c>
      <c r="AO351" t="str">
        <v>PROGRAMA</v>
      </c>
      <c r="AP351" t="str">
        <v>CLIENTE-0007</v>
      </c>
      <c r="AQ351">
        <v>950</v>
      </c>
      <c r="AR351" t="str">
        <v>NO</v>
      </c>
    </row>
    <row r="352" spans="1:44">
      <c r="A352" s="2">
        <v>351</v>
      </c>
      <c r="B352" t="s">
        <v>22</v>
      </c>
      <c r="C352" t="s">
        <v>25</v>
      </c>
      <c r="D352" t="s">
        <v>24</v>
      </c>
      <c r="E352" s="3">
        <v>950</v>
      </c>
      <c r="F352" s="4">
        <v>44277</v>
      </c>
      <c r="G352" s="2" t="s">
        <v>28</v>
      </c>
      <c r="N352">
        <v>458</v>
      </c>
      <c r="O352" t="str">
        <v>PROGRAMA</v>
      </c>
      <c r="P352" t="str">
        <v>CLIENTE-0005</v>
      </c>
      <c r="Q352" t="str">
        <v>BARCELONA</v>
      </c>
      <c r="R352" s="10">
        <v>500</v>
      </c>
      <c r="S352">
        <v>43933</v>
      </c>
      <c r="T352" t="str">
        <v>SI</v>
      </c>
      <c r="AN352">
        <v>350</v>
      </c>
      <c r="AO352" t="str">
        <v>FORMACION</v>
      </c>
      <c r="AP352" t="str">
        <v>CLIENTE-0008</v>
      </c>
      <c r="AQ352">
        <v>680</v>
      </c>
      <c r="AR352" t="str">
        <v>NO</v>
      </c>
    </row>
    <row r="353" spans="1:44">
      <c r="A353" s="2">
        <v>352</v>
      </c>
      <c r="B353" t="s">
        <v>10</v>
      </c>
      <c r="C353" t="s">
        <v>26</v>
      </c>
      <c r="D353" t="s">
        <v>9</v>
      </c>
      <c r="E353" s="3">
        <v>1500</v>
      </c>
      <c r="F353" s="4">
        <v>43523</v>
      </c>
      <c r="G353" s="2" t="s">
        <v>28</v>
      </c>
      <c r="N353">
        <v>492</v>
      </c>
      <c r="O353" t="str">
        <v>PROGRAMA</v>
      </c>
      <c r="P353" t="str">
        <v>CLIENTE-0002</v>
      </c>
      <c r="Q353" t="str">
        <v>ALICANTE</v>
      </c>
      <c r="R353" s="10">
        <v>500</v>
      </c>
      <c r="S353">
        <v>43585</v>
      </c>
      <c r="T353" t="str">
        <v>SI</v>
      </c>
      <c r="AN353">
        <v>351</v>
      </c>
      <c r="AO353" t="str">
        <v>CONSULTORIA</v>
      </c>
      <c r="AP353" t="str">
        <v>CLIENTE-0009</v>
      </c>
      <c r="AQ353">
        <v>950</v>
      </c>
      <c r="AR353" t="str">
        <v>NO</v>
      </c>
    </row>
    <row r="354" spans="1:44">
      <c r="A354" s="2">
        <v>353</v>
      </c>
      <c r="B354" t="s">
        <v>16</v>
      </c>
      <c r="C354" t="s">
        <v>27</v>
      </c>
      <c r="D354" t="s">
        <v>9</v>
      </c>
      <c r="E354" s="3">
        <v>5000</v>
      </c>
      <c r="F354" s="4">
        <v>44172</v>
      </c>
      <c r="G354" s="2" t="s">
        <v>12</v>
      </c>
      <c r="N354">
        <v>504</v>
      </c>
      <c r="O354" t="str">
        <v>EQUIPOS</v>
      </c>
      <c r="P354" t="str">
        <v>CLIENTE-0006</v>
      </c>
      <c r="Q354" t="str">
        <v>BARCELONA</v>
      </c>
      <c r="R354" s="10">
        <v>500</v>
      </c>
      <c r="S354">
        <v>43752</v>
      </c>
      <c r="T354" t="str">
        <v>SI</v>
      </c>
      <c r="AN354">
        <v>352</v>
      </c>
      <c r="AO354" t="str">
        <v>DESARROLLO</v>
      </c>
      <c r="AP354" t="str">
        <v>CLIENTE-0010</v>
      </c>
      <c r="AQ354">
        <v>1500</v>
      </c>
      <c r="AR354" t="str">
        <v>NO</v>
      </c>
    </row>
    <row r="355" spans="1:44">
      <c r="A355" s="2">
        <v>354</v>
      </c>
      <c r="B355" t="s">
        <v>18</v>
      </c>
      <c r="C355" t="s">
        <v>26</v>
      </c>
      <c r="D355" t="s">
        <v>9</v>
      </c>
      <c r="E355" s="3">
        <v>6500</v>
      </c>
      <c r="F355" s="4">
        <v>44004</v>
      </c>
      <c r="G355" s="2" t="s">
        <v>12</v>
      </c>
      <c r="N355">
        <v>527</v>
      </c>
      <c r="O355" t="str">
        <v>DESARROLLO</v>
      </c>
      <c r="P355" t="str">
        <v>CLIENTE-0005</v>
      </c>
      <c r="Q355" t="str">
        <v>BARCELONA</v>
      </c>
      <c r="R355" s="10">
        <v>500</v>
      </c>
      <c r="S355">
        <v>43836</v>
      </c>
      <c r="T355" t="str">
        <v>SI</v>
      </c>
      <c r="AN355">
        <v>353</v>
      </c>
      <c r="AO355" t="str">
        <v>EQUIPOS</v>
      </c>
      <c r="AP355" t="str">
        <v>CLIENTE-0001</v>
      </c>
      <c r="AQ355">
        <v>5000</v>
      </c>
      <c r="AR355" t="str">
        <v>SI</v>
      </c>
    </row>
    <row r="356" spans="1:44">
      <c r="A356" s="2">
        <v>355</v>
      </c>
      <c r="B356" t="s">
        <v>20</v>
      </c>
      <c r="C356" t="s">
        <v>27</v>
      </c>
      <c r="D356" t="s">
        <v>9</v>
      </c>
      <c r="E356" s="3">
        <v>8500</v>
      </c>
      <c r="F356" s="4">
        <v>43666</v>
      </c>
      <c r="G356" s="2" t="s">
        <v>12</v>
      </c>
      <c r="N356">
        <v>561</v>
      </c>
      <c r="O356" t="str">
        <v>DESARROLLO</v>
      </c>
      <c r="P356" t="str">
        <v>CLIENTE-0006</v>
      </c>
      <c r="Q356" t="str">
        <v>BARCELONA</v>
      </c>
      <c r="R356" s="10">
        <v>500</v>
      </c>
      <c r="S356">
        <v>43641</v>
      </c>
      <c r="T356" t="str">
        <v>SI</v>
      </c>
      <c r="AN356">
        <v>354</v>
      </c>
      <c r="AO356" t="str">
        <v>PROGRAMA</v>
      </c>
      <c r="AP356" t="str">
        <v>CLIENTE-0010</v>
      </c>
      <c r="AQ356">
        <v>6500</v>
      </c>
      <c r="AR356" t="str">
        <v>SI</v>
      </c>
    </row>
    <row r="357" spans="1:44">
      <c r="A357" s="2">
        <v>356</v>
      </c>
      <c r="B357" t="s">
        <v>22</v>
      </c>
      <c r="C357" t="s">
        <v>29</v>
      </c>
      <c r="D357" t="s">
        <v>24</v>
      </c>
      <c r="E357" s="3">
        <v>1200</v>
      </c>
      <c r="F357" s="4">
        <v>44290</v>
      </c>
      <c r="G357" s="2" t="s">
        <v>12</v>
      </c>
      <c r="N357">
        <v>573</v>
      </c>
      <c r="O357" t="str">
        <v>DESARROLLO</v>
      </c>
      <c r="P357" t="str">
        <v>CLIENTE-0010</v>
      </c>
      <c r="Q357" t="str">
        <v>MADRID</v>
      </c>
      <c r="R357" s="10">
        <v>500</v>
      </c>
      <c r="S357">
        <v>44089</v>
      </c>
      <c r="T357" t="str">
        <v>SI</v>
      </c>
      <c r="AN357">
        <v>355</v>
      </c>
      <c r="AO357" t="str">
        <v>FORMACION</v>
      </c>
      <c r="AP357" t="str">
        <v>CLIENTE-0001</v>
      </c>
      <c r="AQ357">
        <v>8500</v>
      </c>
      <c r="AR357" t="str">
        <v>SI</v>
      </c>
    </row>
    <row r="358" spans="1:44">
      <c r="A358" s="2">
        <v>357</v>
      </c>
      <c r="B358" t="s">
        <v>10</v>
      </c>
      <c r="C358" t="s">
        <v>21</v>
      </c>
      <c r="D358" t="s">
        <v>9</v>
      </c>
      <c r="E358" s="3">
        <v>300</v>
      </c>
      <c r="F358" s="4">
        <v>44102</v>
      </c>
      <c r="G358" s="2" t="s">
        <v>12</v>
      </c>
      <c r="N358">
        <v>596</v>
      </c>
      <c r="O358" t="str">
        <v>DESARROLLO</v>
      </c>
      <c r="P358" t="str">
        <v>CLIENTE-0001</v>
      </c>
      <c r="Q358" t="str">
        <v>MADRID</v>
      </c>
      <c r="R358" s="10">
        <v>500</v>
      </c>
      <c r="S358">
        <v>43853</v>
      </c>
      <c r="T358" t="str">
        <v>SI</v>
      </c>
      <c r="AN358">
        <v>356</v>
      </c>
      <c r="AO358" t="str">
        <v>CONSULTORIA</v>
      </c>
      <c r="AP358" t="str">
        <v>CLIENTE-0002</v>
      </c>
      <c r="AQ358">
        <v>1200</v>
      </c>
      <c r="AR358" t="str">
        <v>SI</v>
      </c>
    </row>
    <row r="359" spans="1:44">
      <c r="A359" s="2">
        <v>358</v>
      </c>
      <c r="B359" t="s">
        <v>13</v>
      </c>
      <c r="C359" t="s">
        <v>11</v>
      </c>
      <c r="D359" t="s">
        <v>9</v>
      </c>
      <c r="E359" s="3">
        <v>200</v>
      </c>
      <c r="F359" s="4">
        <v>43572</v>
      </c>
      <c r="G359" s="2" t="s">
        <v>12</v>
      </c>
      <c r="N359">
        <v>630</v>
      </c>
      <c r="O359" t="str">
        <v>PROGRAMA</v>
      </c>
      <c r="P359" t="str">
        <v>CLIENTE-0010</v>
      </c>
      <c r="Q359" t="str">
        <v>MADRID</v>
      </c>
      <c r="R359" s="10">
        <v>500</v>
      </c>
      <c r="S359">
        <v>44247</v>
      </c>
      <c r="T359" t="str">
        <v>SI</v>
      </c>
      <c r="AN359">
        <v>357</v>
      </c>
      <c r="AO359" t="str">
        <v>DESARROLLO</v>
      </c>
      <c r="AP359" t="str">
        <v>CLIENTE-0003</v>
      </c>
      <c r="AQ359">
        <v>300</v>
      </c>
      <c r="AR359" t="str">
        <v>SI</v>
      </c>
    </row>
    <row r="360" spans="1:44">
      <c r="A360" s="2">
        <v>359</v>
      </c>
      <c r="B360" t="s">
        <v>16</v>
      </c>
      <c r="C360" t="s">
        <v>14</v>
      </c>
      <c r="D360" t="s">
        <v>15</v>
      </c>
      <c r="E360" s="3">
        <v>150</v>
      </c>
      <c r="F360" s="4">
        <v>44424</v>
      </c>
      <c r="G360" s="2" t="s">
        <v>12</v>
      </c>
      <c r="N360">
        <v>640</v>
      </c>
      <c r="O360" t="str">
        <v>PROYECTO</v>
      </c>
      <c r="P360" t="str">
        <v>CLIENTE-0010</v>
      </c>
      <c r="Q360" t="str">
        <v>MADRID</v>
      </c>
      <c r="R360" s="10">
        <v>500</v>
      </c>
      <c r="S360">
        <v>44251</v>
      </c>
      <c r="T360" t="str">
        <v>SI</v>
      </c>
      <c r="AN360">
        <v>358</v>
      </c>
      <c r="AO360" t="str">
        <v>PROYECTO</v>
      </c>
      <c r="AP360" t="str">
        <v>CLIENTE-0004</v>
      </c>
      <c r="AQ360">
        <v>200</v>
      </c>
      <c r="AR360" t="str">
        <v>SI</v>
      </c>
    </row>
    <row r="361" spans="1:44">
      <c r="A361" s="2">
        <v>360</v>
      </c>
      <c r="B361" t="s">
        <v>22</v>
      </c>
      <c r="C361" t="s">
        <v>17</v>
      </c>
      <c r="D361" t="s">
        <v>15</v>
      </c>
      <c r="E361" s="3">
        <v>120</v>
      </c>
      <c r="F361" s="4">
        <v>43867</v>
      </c>
      <c r="G361" s="2" t="s">
        <v>12</v>
      </c>
      <c r="N361">
        <v>682</v>
      </c>
      <c r="O361" t="str">
        <v>FORMACION</v>
      </c>
      <c r="P361" t="str">
        <v>CLIENTE-0003</v>
      </c>
      <c r="Q361" t="str">
        <v>MADRID</v>
      </c>
      <c r="R361" s="10">
        <v>500</v>
      </c>
      <c r="S361">
        <v>44079</v>
      </c>
      <c r="T361" t="str">
        <v>SI</v>
      </c>
      <c r="AN361">
        <v>359</v>
      </c>
      <c r="AO361" t="str">
        <v>EQUIPOS</v>
      </c>
      <c r="AP361" t="str">
        <v>CLIENTE-0005</v>
      </c>
      <c r="AQ361">
        <v>150</v>
      </c>
      <c r="AR361" t="str">
        <v>SI</v>
      </c>
    </row>
    <row r="362" spans="1:44">
      <c r="A362" s="2">
        <v>361</v>
      </c>
      <c r="B362" t="s">
        <v>10</v>
      </c>
      <c r="C362" t="s">
        <v>19</v>
      </c>
      <c r="D362" t="s">
        <v>15</v>
      </c>
      <c r="E362" s="3">
        <v>300</v>
      </c>
      <c r="F362" s="4">
        <v>43467</v>
      </c>
      <c r="G362" s="2" t="s">
        <v>28</v>
      </c>
      <c r="N362">
        <v>716</v>
      </c>
      <c r="O362" t="str">
        <v>FORMACION</v>
      </c>
      <c r="P362" t="str">
        <v>CLIENTE-0004</v>
      </c>
      <c r="Q362" t="str">
        <v>MADRID</v>
      </c>
      <c r="R362" s="10">
        <v>500</v>
      </c>
      <c r="S362">
        <v>43901</v>
      </c>
      <c r="T362" t="str">
        <v>NO</v>
      </c>
      <c r="AN362">
        <v>360</v>
      </c>
      <c r="AO362" t="str">
        <v>CONSULTORIA</v>
      </c>
      <c r="AP362" t="str">
        <v>CLIENTE-0006</v>
      </c>
      <c r="AQ362">
        <v>120</v>
      </c>
      <c r="AR362" t="str">
        <v>SI</v>
      </c>
    </row>
    <row r="363" spans="1:44">
      <c r="A363" s="2">
        <v>362</v>
      </c>
      <c r="B363" t="s">
        <v>13</v>
      </c>
      <c r="C363" t="s">
        <v>23</v>
      </c>
      <c r="D363" t="s">
        <v>24</v>
      </c>
      <c r="E363" s="3">
        <v>350</v>
      </c>
      <c r="F363" s="4">
        <v>43952</v>
      </c>
      <c r="G363" s="2" t="s">
        <v>28</v>
      </c>
      <c r="N363">
        <v>728</v>
      </c>
      <c r="O363" t="str">
        <v>FORMACION</v>
      </c>
      <c r="P363" t="str">
        <v>CLIENTE-0004</v>
      </c>
      <c r="Q363" t="str">
        <v>MADRID</v>
      </c>
      <c r="R363" s="10">
        <v>500</v>
      </c>
      <c r="S363">
        <v>44243</v>
      </c>
      <c r="T363" t="str">
        <v>SI</v>
      </c>
      <c r="AN363">
        <v>361</v>
      </c>
      <c r="AO363" t="str">
        <v>DESARROLLO</v>
      </c>
      <c r="AP363" t="str">
        <v>CLIENTE-0007</v>
      </c>
      <c r="AQ363">
        <v>300</v>
      </c>
      <c r="AR363" t="str">
        <v>NO</v>
      </c>
    </row>
    <row r="364" spans="1:44">
      <c r="A364" s="2">
        <v>363</v>
      </c>
      <c r="B364" t="s">
        <v>16</v>
      </c>
      <c r="C364" t="s">
        <v>25</v>
      </c>
      <c r="D364" t="s">
        <v>24</v>
      </c>
      <c r="E364" s="3">
        <v>300</v>
      </c>
      <c r="F364" s="4">
        <v>43543</v>
      </c>
      <c r="G364" s="2" t="s">
        <v>28</v>
      </c>
      <c r="N364">
        <v>747</v>
      </c>
      <c r="O364" t="str">
        <v>DESARROLLO</v>
      </c>
      <c r="P364" t="str">
        <v>CLIENTE-0006</v>
      </c>
      <c r="Q364" t="str">
        <v>BARCELONA</v>
      </c>
      <c r="R364" s="10">
        <v>500</v>
      </c>
      <c r="S364">
        <v>43698</v>
      </c>
      <c r="T364" t="str">
        <v>SI</v>
      </c>
      <c r="AN364">
        <v>362</v>
      </c>
      <c r="AO364" t="str">
        <v>PROYECTO</v>
      </c>
      <c r="AP364" t="str">
        <v>CLIENTE-0008</v>
      </c>
      <c r="AQ364">
        <v>350</v>
      </c>
      <c r="AR364" t="str">
        <v>NO</v>
      </c>
    </row>
    <row r="365" spans="1:44">
      <c r="A365" s="2">
        <v>364</v>
      </c>
      <c r="B365" t="s">
        <v>18</v>
      </c>
      <c r="C365" t="s">
        <v>26</v>
      </c>
      <c r="D365" t="s">
        <v>9</v>
      </c>
      <c r="E365" s="3">
        <v>120</v>
      </c>
      <c r="F365" s="4">
        <v>44097</v>
      </c>
      <c r="G365" s="2" t="s">
        <v>28</v>
      </c>
      <c r="N365">
        <v>8</v>
      </c>
      <c r="O365" t="str">
        <v>PROYECTO</v>
      </c>
      <c r="P365" t="str">
        <v>CLIENTE-0005</v>
      </c>
      <c r="Q365" t="str">
        <v>BARCELONA</v>
      </c>
      <c r="R365" s="10">
        <v>680</v>
      </c>
      <c r="S365">
        <v>43669</v>
      </c>
      <c r="T365" t="str">
        <v>SI</v>
      </c>
      <c r="AN365">
        <v>363</v>
      </c>
      <c r="AO365" t="str">
        <v>EQUIPOS</v>
      </c>
      <c r="AP365" t="str">
        <v>CLIENTE-0009</v>
      </c>
      <c r="AQ365">
        <v>300</v>
      </c>
      <c r="AR365" t="str">
        <v>NO</v>
      </c>
    </row>
    <row r="366" spans="1:44">
      <c r="A366" s="2">
        <v>365</v>
      </c>
      <c r="B366" t="s">
        <v>20</v>
      </c>
      <c r="C366" t="s">
        <v>11</v>
      </c>
      <c r="D366" t="s">
        <v>9</v>
      </c>
      <c r="E366" s="3">
        <v>150</v>
      </c>
      <c r="F366" s="4">
        <v>43794</v>
      </c>
      <c r="G366" s="2" t="s">
        <v>12</v>
      </c>
      <c r="N366">
        <v>31</v>
      </c>
      <c r="O366" t="str">
        <v>CONSULTORIA</v>
      </c>
      <c r="P366" t="str">
        <v>CLIENTE-0008</v>
      </c>
      <c r="Q366" t="str">
        <v>ALICANTE</v>
      </c>
      <c r="R366" s="10">
        <v>680</v>
      </c>
      <c r="S366">
        <v>44328</v>
      </c>
      <c r="T366" t="str">
        <v>SI</v>
      </c>
      <c r="AN366">
        <v>364</v>
      </c>
      <c r="AO366" t="str">
        <v>PROGRAMA</v>
      </c>
      <c r="AP366" t="str">
        <v>CLIENTE-0010</v>
      </c>
      <c r="AQ366">
        <v>120</v>
      </c>
      <c r="AR366" t="str">
        <v>NO</v>
      </c>
    </row>
    <row r="367" spans="1:44">
      <c r="A367" s="2">
        <v>366</v>
      </c>
      <c r="B367" t="s">
        <v>22</v>
      </c>
      <c r="C367" t="s">
        <v>14</v>
      </c>
      <c r="D367" t="s">
        <v>15</v>
      </c>
      <c r="E367" s="3">
        <v>8500</v>
      </c>
      <c r="F367" s="4">
        <v>44331</v>
      </c>
      <c r="G367" s="2" t="s">
        <v>12</v>
      </c>
      <c r="N367">
        <v>65</v>
      </c>
      <c r="O367" t="str">
        <v>CONSULTORIA</v>
      </c>
      <c r="P367" t="str">
        <v>CLIENTE-0005</v>
      </c>
      <c r="Q367" t="str">
        <v>BARCELONA</v>
      </c>
      <c r="R367" s="10">
        <v>680</v>
      </c>
      <c r="S367">
        <v>44238</v>
      </c>
      <c r="T367" t="str">
        <v>SI</v>
      </c>
      <c r="AN367">
        <v>365</v>
      </c>
      <c r="AO367" t="str">
        <v>FORMACION</v>
      </c>
      <c r="AP367" t="str">
        <v>CLIENTE-0004</v>
      </c>
      <c r="AQ367">
        <v>150</v>
      </c>
      <c r="AR367" t="str">
        <v>SI</v>
      </c>
    </row>
    <row r="368" spans="1:44">
      <c r="A368" s="2">
        <v>367</v>
      </c>
      <c r="B368" t="s">
        <v>10</v>
      </c>
      <c r="C368" t="s">
        <v>14</v>
      </c>
      <c r="D368" t="s">
        <v>15</v>
      </c>
      <c r="E368" s="3">
        <v>1200</v>
      </c>
      <c r="F368" s="4">
        <v>44115</v>
      </c>
      <c r="G368" s="2" t="s">
        <v>12</v>
      </c>
      <c r="N368">
        <v>77</v>
      </c>
      <c r="O368" t="str">
        <v>PROYECTO</v>
      </c>
      <c r="P368" t="str">
        <v>CLIENTE-0009</v>
      </c>
      <c r="Q368" t="str">
        <v>ALICANTE</v>
      </c>
      <c r="R368" s="10">
        <v>680</v>
      </c>
      <c r="S368">
        <v>43778</v>
      </c>
      <c r="T368" t="str">
        <v>SI</v>
      </c>
      <c r="AN368">
        <v>366</v>
      </c>
      <c r="AO368" t="str">
        <v>CONSULTORIA</v>
      </c>
      <c r="AP368" t="str">
        <v>CLIENTE-0005</v>
      </c>
      <c r="AQ368">
        <v>8500</v>
      </c>
      <c r="AR368" t="str">
        <v>SI</v>
      </c>
    </row>
    <row r="369" spans="1:44">
      <c r="A369" s="2">
        <v>368</v>
      </c>
      <c r="B369" t="s">
        <v>13</v>
      </c>
      <c r="C369" t="s">
        <v>17</v>
      </c>
      <c r="D369" t="s">
        <v>15</v>
      </c>
      <c r="E369" s="3">
        <v>300</v>
      </c>
      <c r="F369" s="4">
        <v>44222</v>
      </c>
      <c r="G369" s="2" t="s">
        <v>12</v>
      </c>
      <c r="N369">
        <v>100</v>
      </c>
      <c r="O369" t="str">
        <v>CONSULTORIA</v>
      </c>
      <c r="P369" t="str">
        <v>CLIENTE-0007</v>
      </c>
      <c r="Q369" t="str">
        <v>BARCELONA</v>
      </c>
      <c r="R369" s="10">
        <v>680</v>
      </c>
      <c r="S369">
        <v>44495</v>
      </c>
      <c r="T369" t="str">
        <v>SI</v>
      </c>
      <c r="AN369">
        <v>367</v>
      </c>
      <c r="AO369" t="str">
        <v>DESARROLLO</v>
      </c>
      <c r="AP369" t="str">
        <v>CLIENTE-0005</v>
      </c>
      <c r="AQ369">
        <v>1200</v>
      </c>
      <c r="AR369" t="str">
        <v>SI</v>
      </c>
    </row>
    <row r="370" spans="1:44">
      <c r="A370" s="2">
        <v>369</v>
      </c>
      <c r="B370" t="s">
        <v>16</v>
      </c>
      <c r="C370" t="s">
        <v>19</v>
      </c>
      <c r="D370" t="s">
        <v>15</v>
      </c>
      <c r="E370" s="3">
        <v>200</v>
      </c>
      <c r="F370" s="4">
        <v>43931</v>
      </c>
      <c r="G370" s="2" t="s">
        <v>12</v>
      </c>
      <c r="N370">
        <v>134</v>
      </c>
      <c r="O370" t="str">
        <v>FORMACION</v>
      </c>
      <c r="P370" t="str">
        <v>CLIENTE-0009</v>
      </c>
      <c r="Q370" t="str">
        <v>ALICANTE</v>
      </c>
      <c r="R370" s="10">
        <v>680</v>
      </c>
      <c r="S370">
        <v>43521</v>
      </c>
      <c r="T370" t="str">
        <v>SI</v>
      </c>
      <c r="AN370">
        <v>368</v>
      </c>
      <c r="AO370" t="str">
        <v>PROYECTO</v>
      </c>
      <c r="AP370" t="str">
        <v>CLIENTE-0006</v>
      </c>
      <c r="AQ370">
        <v>300</v>
      </c>
      <c r="AR370" t="str">
        <v>SI</v>
      </c>
    </row>
    <row r="371" spans="1:44">
      <c r="A371" s="2">
        <v>370</v>
      </c>
      <c r="B371" t="s">
        <v>18</v>
      </c>
      <c r="C371" t="s">
        <v>23</v>
      </c>
      <c r="D371" t="s">
        <v>24</v>
      </c>
      <c r="E371" s="3">
        <v>150</v>
      </c>
      <c r="F371" s="4">
        <v>44529</v>
      </c>
      <c r="G371" s="2" t="s">
        <v>12</v>
      </c>
      <c r="N371">
        <v>146</v>
      </c>
      <c r="O371" t="str">
        <v>FORMACION</v>
      </c>
      <c r="P371" t="str">
        <v>CLIENTE-0008</v>
      </c>
      <c r="Q371" t="str">
        <v>ALICANTE</v>
      </c>
      <c r="R371" s="10">
        <v>680</v>
      </c>
      <c r="S371">
        <v>44550</v>
      </c>
      <c r="T371" t="str">
        <v>SI</v>
      </c>
      <c r="AN371">
        <v>369</v>
      </c>
      <c r="AO371" t="str">
        <v>EQUIPOS</v>
      </c>
      <c r="AP371" t="str">
        <v>CLIENTE-0007</v>
      </c>
      <c r="AQ371">
        <v>200</v>
      </c>
      <c r="AR371" t="str">
        <v>SI</v>
      </c>
    </row>
    <row r="372" spans="1:44">
      <c r="A372" s="2">
        <v>371</v>
      </c>
      <c r="B372" t="s">
        <v>20</v>
      </c>
      <c r="C372" t="s">
        <v>25</v>
      </c>
      <c r="D372" t="s">
        <v>24</v>
      </c>
      <c r="E372" s="3">
        <v>120</v>
      </c>
      <c r="F372" s="4">
        <v>44292</v>
      </c>
      <c r="G372" s="2" t="s">
        <v>12</v>
      </c>
      <c r="N372">
        <v>169</v>
      </c>
      <c r="O372" t="str">
        <v>CONSULTORIA</v>
      </c>
      <c r="P372" t="str">
        <v>CLIENTE-0001</v>
      </c>
      <c r="Q372" t="str">
        <v>MADRID</v>
      </c>
      <c r="R372" s="10">
        <v>680</v>
      </c>
      <c r="S372">
        <v>43638</v>
      </c>
      <c r="T372" t="str">
        <v>SI</v>
      </c>
      <c r="AN372">
        <v>370</v>
      </c>
      <c r="AO372" t="str">
        <v>PROGRAMA</v>
      </c>
      <c r="AP372" t="str">
        <v>CLIENTE-0008</v>
      </c>
      <c r="AQ372">
        <v>150</v>
      </c>
      <c r="AR372" t="str">
        <v>SI</v>
      </c>
    </row>
    <row r="373" spans="1:44">
      <c r="A373" s="2">
        <v>372</v>
      </c>
      <c r="B373" t="s">
        <v>22</v>
      </c>
      <c r="C373" t="s">
        <v>26</v>
      </c>
      <c r="D373" t="s">
        <v>9</v>
      </c>
      <c r="E373" s="3">
        <v>300</v>
      </c>
      <c r="F373" s="4">
        <v>43611</v>
      </c>
      <c r="G373" s="2" t="s">
        <v>12</v>
      </c>
      <c r="N373">
        <v>203</v>
      </c>
      <c r="O373" t="str">
        <v>PROYECTO</v>
      </c>
      <c r="P373" t="str">
        <v>CLIENTE-0005</v>
      </c>
      <c r="Q373" t="str">
        <v>BARCELONA</v>
      </c>
      <c r="R373" s="10">
        <v>680</v>
      </c>
      <c r="S373">
        <v>43951</v>
      </c>
      <c r="T373" t="str">
        <v>SI</v>
      </c>
      <c r="AN373">
        <v>371</v>
      </c>
      <c r="AO373" t="str">
        <v>FORMACION</v>
      </c>
      <c r="AP373" t="str">
        <v>CLIENTE-0009</v>
      </c>
      <c r="AQ373">
        <v>120</v>
      </c>
      <c r="AR373" t="str">
        <v>SI</v>
      </c>
    </row>
    <row r="374" spans="1:44">
      <c r="A374" s="2">
        <v>373</v>
      </c>
      <c r="B374" t="s">
        <v>10</v>
      </c>
      <c r="C374" t="s">
        <v>27</v>
      </c>
      <c r="D374" t="s">
        <v>9</v>
      </c>
      <c r="E374" s="3">
        <v>350</v>
      </c>
      <c r="F374" s="4">
        <v>43548</v>
      </c>
      <c r="G374" s="2" t="s">
        <v>12</v>
      </c>
      <c r="N374">
        <v>215</v>
      </c>
      <c r="O374" t="str">
        <v>PROGRAMA</v>
      </c>
      <c r="P374" t="str">
        <v>CLIENTE-0005</v>
      </c>
      <c r="Q374" t="str">
        <v>BARCELONA</v>
      </c>
      <c r="R374" s="10">
        <v>680</v>
      </c>
      <c r="S374">
        <v>44197</v>
      </c>
      <c r="T374" t="str">
        <v>NO</v>
      </c>
      <c r="AN374">
        <v>372</v>
      </c>
      <c r="AO374" t="str">
        <v>CONSULTORIA</v>
      </c>
      <c r="AP374" t="str">
        <v>CLIENTE-0010</v>
      </c>
      <c r="AQ374">
        <v>300</v>
      </c>
      <c r="AR374" t="str">
        <v>SI</v>
      </c>
    </row>
    <row r="375" spans="1:44">
      <c r="A375" s="2">
        <v>374</v>
      </c>
      <c r="B375" t="s">
        <v>13</v>
      </c>
      <c r="C375" t="s">
        <v>26</v>
      </c>
      <c r="D375" t="s">
        <v>9</v>
      </c>
      <c r="E375" s="3">
        <v>8500</v>
      </c>
      <c r="F375" s="4">
        <v>43519</v>
      </c>
      <c r="G375" s="2" t="s">
        <v>12</v>
      </c>
      <c r="N375">
        <v>238</v>
      </c>
      <c r="O375" t="str">
        <v>EQUIPOS</v>
      </c>
      <c r="P375" t="str">
        <v>CLIENTE-0003</v>
      </c>
      <c r="Q375" t="str">
        <v>MADRID</v>
      </c>
      <c r="R375" s="10">
        <v>680</v>
      </c>
      <c r="S375">
        <v>43572</v>
      </c>
      <c r="T375" t="str">
        <v>SI</v>
      </c>
      <c r="AN375">
        <v>373</v>
      </c>
      <c r="AO375" t="str">
        <v>DESARROLLO</v>
      </c>
      <c r="AP375" t="str">
        <v>CLIENTE-0001</v>
      </c>
      <c r="AQ375">
        <v>350</v>
      </c>
      <c r="AR375" t="str">
        <v>SI</v>
      </c>
    </row>
    <row r="376" spans="1:44">
      <c r="A376" s="2">
        <v>375</v>
      </c>
      <c r="B376" t="s">
        <v>16</v>
      </c>
      <c r="C376" t="s">
        <v>27</v>
      </c>
      <c r="D376" t="s">
        <v>9</v>
      </c>
      <c r="E376" s="3">
        <v>1200</v>
      </c>
      <c r="F376" s="4">
        <v>44311</v>
      </c>
      <c r="G376" s="2" t="s">
        <v>12</v>
      </c>
      <c r="N376">
        <v>272</v>
      </c>
      <c r="O376" t="str">
        <v>PROYECTO</v>
      </c>
      <c r="P376" t="str">
        <v>CLIENTE-0003</v>
      </c>
      <c r="Q376" t="str">
        <v>MADRID</v>
      </c>
      <c r="R376" s="10">
        <v>680</v>
      </c>
      <c r="S376">
        <v>44036</v>
      </c>
      <c r="T376" t="str">
        <v>SI</v>
      </c>
      <c r="AN376">
        <v>374</v>
      </c>
      <c r="AO376" t="str">
        <v>PROYECTO</v>
      </c>
      <c r="AP376" t="str">
        <v>CLIENTE-0010</v>
      </c>
      <c r="AQ376">
        <v>8500</v>
      </c>
      <c r="AR376" t="str">
        <v>SI</v>
      </c>
    </row>
    <row r="377" spans="1:44">
      <c r="A377" s="2">
        <v>376</v>
      </c>
      <c r="B377" t="s">
        <v>18</v>
      </c>
      <c r="C377" t="s">
        <v>29</v>
      </c>
      <c r="D377" t="s">
        <v>24</v>
      </c>
      <c r="E377" s="3">
        <v>300</v>
      </c>
      <c r="F377" s="4">
        <v>44034</v>
      </c>
      <c r="G377" s="2" t="s">
        <v>12</v>
      </c>
      <c r="N377">
        <v>281</v>
      </c>
      <c r="O377" t="str">
        <v>DESARROLLO</v>
      </c>
      <c r="P377" t="str">
        <v>CLIENTE-0005</v>
      </c>
      <c r="Q377" t="str">
        <v>BARCELONA</v>
      </c>
      <c r="R377" s="10">
        <v>680</v>
      </c>
      <c r="S377">
        <v>43921</v>
      </c>
      <c r="T377" t="str">
        <v>NO</v>
      </c>
      <c r="AN377">
        <v>375</v>
      </c>
      <c r="AO377" t="str">
        <v>EQUIPOS</v>
      </c>
      <c r="AP377" t="str">
        <v>CLIENTE-0001</v>
      </c>
      <c r="AQ377">
        <v>1200</v>
      </c>
      <c r="AR377" t="str">
        <v>SI</v>
      </c>
    </row>
    <row r="378" spans="1:44">
      <c r="A378" s="2">
        <v>377</v>
      </c>
      <c r="B378" t="s">
        <v>20</v>
      </c>
      <c r="C378" t="s">
        <v>21</v>
      </c>
      <c r="D378" t="s">
        <v>9</v>
      </c>
      <c r="E378" s="3">
        <v>200</v>
      </c>
      <c r="F378" s="4">
        <v>44553</v>
      </c>
      <c r="G378" s="2" t="s">
        <v>28</v>
      </c>
      <c r="N378">
        <v>315</v>
      </c>
      <c r="O378" t="str">
        <v>PROGRAMA</v>
      </c>
      <c r="P378" t="str">
        <v>CLIENTE-0006</v>
      </c>
      <c r="Q378" t="str">
        <v>BARCELONA</v>
      </c>
      <c r="R378" s="10">
        <v>680</v>
      </c>
      <c r="S378">
        <v>44266</v>
      </c>
      <c r="T378" t="str">
        <v>SI</v>
      </c>
      <c r="AN378">
        <v>376</v>
      </c>
      <c r="AO378" t="str">
        <v>PROGRAMA</v>
      </c>
      <c r="AP378" t="str">
        <v>CLIENTE-0002</v>
      </c>
      <c r="AQ378">
        <v>300</v>
      </c>
      <c r="AR378" t="str">
        <v>SI</v>
      </c>
    </row>
    <row r="379" spans="1:44">
      <c r="A379" s="2">
        <v>378</v>
      </c>
      <c r="B379" t="s">
        <v>22</v>
      </c>
      <c r="C379" t="s">
        <v>11</v>
      </c>
      <c r="D379" t="s">
        <v>9</v>
      </c>
      <c r="E379" s="3">
        <v>150</v>
      </c>
      <c r="F379" s="4">
        <v>43533</v>
      </c>
      <c r="G379" s="2" t="s">
        <v>28</v>
      </c>
      <c r="N379">
        <v>327</v>
      </c>
      <c r="O379" t="str">
        <v>PROGRAMA</v>
      </c>
      <c r="P379" t="str">
        <v>CLIENTE-0010</v>
      </c>
      <c r="Q379" t="str">
        <v>MADRID</v>
      </c>
      <c r="R379" s="10">
        <v>680</v>
      </c>
      <c r="S379">
        <v>44302</v>
      </c>
      <c r="T379" t="str">
        <v>SI</v>
      </c>
      <c r="AN379">
        <v>377</v>
      </c>
      <c r="AO379" t="str">
        <v>FORMACION</v>
      </c>
      <c r="AP379" t="str">
        <v>CLIENTE-0003</v>
      </c>
      <c r="AQ379">
        <v>200</v>
      </c>
      <c r="AR379" t="str">
        <v>NO</v>
      </c>
    </row>
    <row r="380" spans="1:44">
      <c r="A380" s="2">
        <v>379</v>
      </c>
      <c r="B380" t="s">
        <v>10</v>
      </c>
      <c r="C380" t="s">
        <v>14</v>
      </c>
      <c r="D380" t="s">
        <v>15</v>
      </c>
      <c r="E380" s="3">
        <v>120</v>
      </c>
      <c r="F380" s="4">
        <v>44265</v>
      </c>
      <c r="G380" s="2" t="s">
        <v>28</v>
      </c>
      <c r="N380">
        <v>350</v>
      </c>
      <c r="O380" t="str">
        <v>FORMACION</v>
      </c>
      <c r="P380" t="str">
        <v>CLIENTE-0008</v>
      </c>
      <c r="Q380" t="str">
        <v>ALICANTE</v>
      </c>
      <c r="R380" s="10">
        <v>680</v>
      </c>
      <c r="S380">
        <v>44198</v>
      </c>
      <c r="T380" t="str">
        <v>NO</v>
      </c>
      <c r="AN380">
        <v>378</v>
      </c>
      <c r="AO380" t="str">
        <v>CONSULTORIA</v>
      </c>
      <c r="AP380" t="str">
        <v>CLIENTE-0004</v>
      </c>
      <c r="AQ380">
        <v>150</v>
      </c>
      <c r="AR380" t="str">
        <v>NO</v>
      </c>
    </row>
    <row r="381" spans="1:44">
      <c r="A381" s="2">
        <v>380</v>
      </c>
      <c r="B381" t="s">
        <v>13</v>
      </c>
      <c r="C381" t="s">
        <v>17</v>
      </c>
      <c r="D381" t="s">
        <v>15</v>
      </c>
      <c r="E381" s="3">
        <v>300</v>
      </c>
      <c r="F381" s="4">
        <v>44136</v>
      </c>
      <c r="G381" s="2" t="s">
        <v>28</v>
      </c>
      <c r="N381">
        <v>392</v>
      </c>
      <c r="O381" t="str">
        <v>PROYECTO</v>
      </c>
      <c r="P381" t="str">
        <v>CLIENTE-0005</v>
      </c>
      <c r="Q381" t="str">
        <v>BARCELONA</v>
      </c>
      <c r="R381" s="10">
        <v>680</v>
      </c>
      <c r="S381">
        <v>44142</v>
      </c>
      <c r="T381" t="str">
        <v>NO</v>
      </c>
      <c r="AN381">
        <v>379</v>
      </c>
      <c r="AO381" t="str">
        <v>DESARROLLO</v>
      </c>
      <c r="AP381" t="str">
        <v>CLIENTE-0005</v>
      </c>
      <c r="AQ381">
        <v>120</v>
      </c>
      <c r="AR381" t="str">
        <v>NO</v>
      </c>
    </row>
    <row r="382" spans="1:44">
      <c r="A382" s="2">
        <v>381</v>
      </c>
      <c r="B382" t="s">
        <v>16</v>
      </c>
      <c r="C382" t="s">
        <v>19</v>
      </c>
      <c r="D382" t="s">
        <v>15</v>
      </c>
      <c r="E382" s="3">
        <v>350</v>
      </c>
      <c r="F382" s="4">
        <v>43849</v>
      </c>
      <c r="G382" s="2" t="s">
        <v>28</v>
      </c>
      <c r="N382">
        <v>426</v>
      </c>
      <c r="O382" t="str">
        <v>DESARROLLO</v>
      </c>
      <c r="P382" t="str">
        <v>CLIENTE-0006</v>
      </c>
      <c r="Q382" t="str">
        <v>BARCELONA</v>
      </c>
      <c r="R382" s="10">
        <v>680</v>
      </c>
      <c r="S382">
        <v>44218</v>
      </c>
      <c r="T382" t="str">
        <v>SI</v>
      </c>
      <c r="AN382">
        <v>380</v>
      </c>
      <c r="AO382" t="str">
        <v>PROYECTO</v>
      </c>
      <c r="AP382" t="str">
        <v>CLIENTE-0006</v>
      </c>
      <c r="AQ382">
        <v>300</v>
      </c>
      <c r="AR382" t="str">
        <v>NO</v>
      </c>
    </row>
    <row r="383" spans="1:44">
      <c r="A383" s="2">
        <v>382</v>
      </c>
      <c r="B383" t="s">
        <v>18</v>
      </c>
      <c r="C383" t="s">
        <v>23</v>
      </c>
      <c r="D383" t="s">
        <v>24</v>
      </c>
      <c r="E383" s="3">
        <v>300</v>
      </c>
      <c r="F383" s="4">
        <v>44164</v>
      </c>
      <c r="G383" s="2" t="s">
        <v>28</v>
      </c>
      <c r="N383">
        <v>438</v>
      </c>
      <c r="O383" t="str">
        <v>EQUIPOS</v>
      </c>
      <c r="P383" t="str">
        <v>CLIENTE-0005</v>
      </c>
      <c r="Q383" t="str">
        <v>BARCELONA</v>
      </c>
      <c r="R383" s="10">
        <v>680</v>
      </c>
      <c r="S383">
        <v>44287</v>
      </c>
      <c r="T383" t="str">
        <v>NO</v>
      </c>
      <c r="AN383">
        <v>381</v>
      </c>
      <c r="AO383" t="str">
        <v>EQUIPOS</v>
      </c>
      <c r="AP383" t="str">
        <v>CLIENTE-0007</v>
      </c>
      <c r="AQ383">
        <v>350</v>
      </c>
      <c r="AR383" t="str">
        <v>NO</v>
      </c>
    </row>
    <row r="384" spans="1:44">
      <c r="A384" s="2">
        <v>383</v>
      </c>
      <c r="B384" t="s">
        <v>20</v>
      </c>
      <c r="C384" t="s">
        <v>25</v>
      </c>
      <c r="D384" t="s">
        <v>24</v>
      </c>
      <c r="E384" s="3">
        <v>120</v>
      </c>
      <c r="F384" s="4">
        <v>44429</v>
      </c>
      <c r="G384" s="2" t="s">
        <v>28</v>
      </c>
      <c r="N384">
        <v>461</v>
      </c>
      <c r="O384" t="str">
        <v>DESARROLLO</v>
      </c>
      <c r="P384" t="str">
        <v>CLIENTE-0008</v>
      </c>
      <c r="Q384" t="str">
        <v>ALICANTE</v>
      </c>
      <c r="R384" s="10">
        <v>680</v>
      </c>
      <c r="S384">
        <v>44448</v>
      </c>
      <c r="T384" t="str">
        <v>SI</v>
      </c>
      <c r="AN384">
        <v>382</v>
      </c>
      <c r="AO384" t="str">
        <v>PROGRAMA</v>
      </c>
      <c r="AP384" t="str">
        <v>CLIENTE-0008</v>
      </c>
      <c r="AQ384">
        <v>300</v>
      </c>
      <c r="AR384" t="str">
        <v>NO</v>
      </c>
    </row>
    <row r="385" spans="1:44">
      <c r="A385" s="2">
        <v>384</v>
      </c>
      <c r="B385" t="s">
        <v>22</v>
      </c>
      <c r="C385" t="s">
        <v>26</v>
      </c>
      <c r="D385" t="s">
        <v>9</v>
      </c>
      <c r="E385" s="3">
        <v>150</v>
      </c>
      <c r="F385" s="4">
        <v>43786</v>
      </c>
      <c r="G385" s="2" t="s">
        <v>12</v>
      </c>
      <c r="N385">
        <v>495</v>
      </c>
      <c r="O385" t="str">
        <v>DESARROLLO</v>
      </c>
      <c r="P385" t="str">
        <v>CLIENTE-0005</v>
      </c>
      <c r="Q385" t="str">
        <v>BARCELONA</v>
      </c>
      <c r="R385" s="10">
        <v>680</v>
      </c>
      <c r="S385">
        <v>44416</v>
      </c>
      <c r="T385" t="str">
        <v>SI</v>
      </c>
      <c r="AN385">
        <v>383</v>
      </c>
      <c r="AO385" t="str">
        <v>FORMACION</v>
      </c>
      <c r="AP385" t="str">
        <v>CLIENTE-0009</v>
      </c>
      <c r="AQ385">
        <v>120</v>
      </c>
      <c r="AR385" t="str">
        <v>NO</v>
      </c>
    </row>
    <row r="386" spans="1:44">
      <c r="A386" s="2">
        <v>385</v>
      </c>
      <c r="B386" t="s">
        <v>10</v>
      </c>
      <c r="C386" t="s">
        <v>11</v>
      </c>
      <c r="D386" t="s">
        <v>9</v>
      </c>
      <c r="E386" s="3">
        <v>1200</v>
      </c>
      <c r="F386" s="4">
        <v>43625</v>
      </c>
      <c r="G386" s="2" t="s">
        <v>12</v>
      </c>
      <c r="N386">
        <v>507</v>
      </c>
      <c r="O386" t="str">
        <v>CONSULTORIA</v>
      </c>
      <c r="P386" t="str">
        <v>CLIENTE-0009</v>
      </c>
      <c r="Q386" t="str">
        <v>ALICANTE</v>
      </c>
      <c r="R386" s="10">
        <v>680</v>
      </c>
      <c r="S386">
        <v>44544</v>
      </c>
      <c r="T386" t="str">
        <v>NO</v>
      </c>
      <c r="AN386">
        <v>384</v>
      </c>
      <c r="AO386" t="str">
        <v>CONSULTORIA</v>
      </c>
      <c r="AP386" t="str">
        <v>CLIENTE-0010</v>
      </c>
      <c r="AQ386">
        <v>150</v>
      </c>
      <c r="AR386" t="str">
        <v>SI</v>
      </c>
    </row>
    <row r="387" spans="1:44">
      <c r="A387" s="2">
        <v>386</v>
      </c>
      <c r="B387" t="s">
        <v>13</v>
      </c>
      <c r="C387" t="s">
        <v>11</v>
      </c>
      <c r="D387" t="s">
        <v>9</v>
      </c>
      <c r="E387" s="3">
        <v>800</v>
      </c>
      <c r="F387" s="4">
        <v>43511</v>
      </c>
      <c r="G387" s="2" t="s">
        <v>12</v>
      </c>
      <c r="N387">
        <v>530</v>
      </c>
      <c r="O387" t="str">
        <v>PROGRAMA</v>
      </c>
      <c r="P387" t="str">
        <v>CLIENTE-0007</v>
      </c>
      <c r="Q387" t="str">
        <v>BARCELONA</v>
      </c>
      <c r="R387" s="10">
        <v>680</v>
      </c>
      <c r="S387">
        <v>43904</v>
      </c>
      <c r="T387" t="str">
        <v>SI</v>
      </c>
      <c r="AN387">
        <v>385</v>
      </c>
      <c r="AO387" t="str">
        <v>DESARROLLO</v>
      </c>
      <c r="AP387" t="str">
        <v>CLIENTE-0004</v>
      </c>
      <c r="AQ387">
        <v>1200</v>
      </c>
      <c r="AR387" t="str">
        <v>SI</v>
      </c>
    </row>
    <row r="388" spans="1:44">
      <c r="A388" s="2">
        <v>387</v>
      </c>
      <c r="B388" t="s">
        <v>16</v>
      </c>
      <c r="C388" t="s">
        <v>14</v>
      </c>
      <c r="D388" t="s">
        <v>15</v>
      </c>
      <c r="E388" s="3">
        <v>750</v>
      </c>
      <c r="F388" s="4">
        <v>43495</v>
      </c>
      <c r="G388" s="2" t="s">
        <v>12</v>
      </c>
      <c r="N388">
        <v>564</v>
      </c>
      <c r="O388" t="str">
        <v>PROGRAMA</v>
      </c>
      <c r="P388" t="str">
        <v>CLIENTE-0009</v>
      </c>
      <c r="Q388" t="str">
        <v>ALICANTE</v>
      </c>
      <c r="R388" s="10">
        <v>680</v>
      </c>
      <c r="S388">
        <v>44471</v>
      </c>
      <c r="T388" t="str">
        <v>SI</v>
      </c>
      <c r="AN388">
        <v>386</v>
      </c>
      <c r="AO388" t="str">
        <v>PROYECTO</v>
      </c>
      <c r="AP388" t="str">
        <v>CLIENTE-0004</v>
      </c>
      <c r="AQ388">
        <v>800</v>
      </c>
      <c r="AR388" t="str">
        <v>SI</v>
      </c>
    </row>
    <row r="389" spans="1:44">
      <c r="A389" s="2">
        <v>388</v>
      </c>
      <c r="B389" t="s">
        <v>18</v>
      </c>
      <c r="C389" t="s">
        <v>17</v>
      </c>
      <c r="D389" t="s">
        <v>15</v>
      </c>
      <c r="E389" s="3">
        <v>4500</v>
      </c>
      <c r="F389" s="4">
        <v>43842</v>
      </c>
      <c r="G389" s="2" t="s">
        <v>12</v>
      </c>
      <c r="N389">
        <v>576</v>
      </c>
      <c r="O389" t="str">
        <v>PROGRAMA</v>
      </c>
      <c r="P389" t="str">
        <v>CLIENTE-0001</v>
      </c>
      <c r="Q389" t="str">
        <v>MADRID</v>
      </c>
      <c r="R389" s="10">
        <v>680</v>
      </c>
      <c r="S389">
        <v>44050</v>
      </c>
      <c r="T389" t="str">
        <v>NO</v>
      </c>
      <c r="AN389">
        <v>387</v>
      </c>
      <c r="AO389" t="str">
        <v>EQUIPOS</v>
      </c>
      <c r="AP389" t="str">
        <v>CLIENTE-0005</v>
      </c>
      <c r="AQ389">
        <v>750</v>
      </c>
      <c r="AR389" t="str">
        <v>SI</v>
      </c>
    </row>
    <row r="390" spans="1:44">
      <c r="A390" s="2">
        <v>389</v>
      </c>
      <c r="B390" t="s">
        <v>20</v>
      </c>
      <c r="C390" t="s">
        <v>19</v>
      </c>
      <c r="D390" t="s">
        <v>15</v>
      </c>
      <c r="E390" s="3">
        <v>500</v>
      </c>
      <c r="F390" s="4">
        <v>44101</v>
      </c>
      <c r="G390" s="2" t="s">
        <v>12</v>
      </c>
      <c r="N390">
        <v>599</v>
      </c>
      <c r="O390" t="str">
        <v>PROGRAMA</v>
      </c>
      <c r="P390" t="str">
        <v>CLIENTE-0004</v>
      </c>
      <c r="Q390" t="str">
        <v>MADRID</v>
      </c>
      <c r="R390" s="10">
        <v>680</v>
      </c>
      <c r="S390">
        <v>44559</v>
      </c>
      <c r="T390" t="str">
        <v>SI</v>
      </c>
      <c r="AN390">
        <v>388</v>
      </c>
      <c r="AO390" t="str">
        <v>PROGRAMA</v>
      </c>
      <c r="AP390" t="str">
        <v>CLIENTE-0006</v>
      </c>
      <c r="AQ390">
        <v>4500</v>
      </c>
      <c r="AR390" t="str">
        <v>SI</v>
      </c>
    </row>
    <row r="391" spans="1:44">
      <c r="A391" s="2">
        <v>390</v>
      </c>
      <c r="B391" t="s">
        <v>22</v>
      </c>
      <c r="C391" t="s">
        <v>21</v>
      </c>
      <c r="D391" t="s">
        <v>9</v>
      </c>
      <c r="E391" s="3">
        <v>750</v>
      </c>
      <c r="F391" s="4">
        <v>43984</v>
      </c>
      <c r="G391" s="2" t="s">
        <v>12</v>
      </c>
      <c r="N391">
        <v>633</v>
      </c>
      <c r="O391" t="str">
        <v>DESARROLLO</v>
      </c>
      <c r="P391" t="str">
        <v>CLIENTE-0005</v>
      </c>
      <c r="Q391" t="str">
        <v>BARCELONA</v>
      </c>
      <c r="R391" s="10">
        <v>680</v>
      </c>
      <c r="S391">
        <v>43476</v>
      </c>
      <c r="T391" t="str">
        <v>SI</v>
      </c>
      <c r="AN391">
        <v>389</v>
      </c>
      <c r="AO391" t="str">
        <v>FORMACION</v>
      </c>
      <c r="AP391" t="str">
        <v>CLIENTE-0007</v>
      </c>
      <c r="AQ391">
        <v>500</v>
      </c>
      <c r="AR391" t="str">
        <v>SI</v>
      </c>
    </row>
    <row r="392" spans="1:44">
      <c r="A392" s="2">
        <v>391</v>
      </c>
      <c r="B392" t="s">
        <v>10</v>
      </c>
      <c r="C392" t="s">
        <v>11</v>
      </c>
      <c r="D392" t="s">
        <v>9</v>
      </c>
      <c r="E392" s="3">
        <v>950</v>
      </c>
      <c r="F392" s="4">
        <v>43979</v>
      </c>
      <c r="G392" s="2" t="s">
        <v>12</v>
      </c>
      <c r="N392">
        <v>643</v>
      </c>
      <c r="O392" t="str">
        <v>FORMACION</v>
      </c>
      <c r="P392" t="str">
        <v>CLIENTE-0003</v>
      </c>
      <c r="Q392" t="str">
        <v>MADRID</v>
      </c>
      <c r="R392" s="10">
        <v>680</v>
      </c>
      <c r="S392">
        <v>43861</v>
      </c>
      <c r="T392" t="str">
        <v>SI</v>
      </c>
      <c r="AN392">
        <v>390</v>
      </c>
      <c r="AO392" t="str">
        <v>CONSULTORIA</v>
      </c>
      <c r="AP392" t="str">
        <v>CLIENTE-0003</v>
      </c>
      <c r="AQ392">
        <v>750</v>
      </c>
      <c r="AR392" t="str">
        <v>SI</v>
      </c>
    </row>
    <row r="393" spans="1:44">
      <c r="A393" s="2">
        <v>392</v>
      </c>
      <c r="B393" t="s">
        <v>13</v>
      </c>
      <c r="C393" t="s">
        <v>14</v>
      </c>
      <c r="D393" t="s">
        <v>15</v>
      </c>
      <c r="E393" s="3">
        <v>680</v>
      </c>
      <c r="F393" s="4">
        <v>44142</v>
      </c>
      <c r="G393" s="2" t="s">
        <v>28</v>
      </c>
      <c r="N393">
        <v>685</v>
      </c>
      <c r="O393" t="str">
        <v>PROYECTO</v>
      </c>
      <c r="P393" t="str">
        <v>CLIENTE-0005</v>
      </c>
      <c r="Q393" t="str">
        <v>BARCELONA</v>
      </c>
      <c r="R393" s="10">
        <v>680</v>
      </c>
      <c r="S393">
        <v>43553</v>
      </c>
      <c r="T393" t="str">
        <v>SI</v>
      </c>
      <c r="AN393">
        <v>391</v>
      </c>
      <c r="AO393" t="str">
        <v>DESARROLLO</v>
      </c>
      <c r="AP393" t="str">
        <v>CLIENTE-0004</v>
      </c>
      <c r="AQ393">
        <v>950</v>
      </c>
      <c r="AR393" t="str">
        <v>SI</v>
      </c>
    </row>
    <row r="394" spans="1:44">
      <c r="A394" s="2">
        <v>393</v>
      </c>
      <c r="B394" t="s">
        <v>16</v>
      </c>
      <c r="C394" t="s">
        <v>14</v>
      </c>
      <c r="D394" t="s">
        <v>15</v>
      </c>
      <c r="E394" s="3">
        <v>950</v>
      </c>
      <c r="F394" s="4">
        <v>44418</v>
      </c>
      <c r="G394" s="2" t="s">
        <v>28</v>
      </c>
      <c r="N394">
        <v>719</v>
      </c>
      <c r="O394" t="str">
        <v>PROYECTO</v>
      </c>
      <c r="P394" t="str">
        <v>CLIENTE-0007</v>
      </c>
      <c r="Q394" t="str">
        <v>BARCELONA</v>
      </c>
      <c r="R394" s="10">
        <v>680</v>
      </c>
      <c r="S394">
        <v>44479</v>
      </c>
      <c r="T394" t="str">
        <v>SI</v>
      </c>
      <c r="AN394">
        <v>392</v>
      </c>
      <c r="AO394" t="str">
        <v>PROYECTO</v>
      </c>
      <c r="AP394" t="str">
        <v>CLIENTE-0005</v>
      </c>
      <c r="AQ394">
        <v>680</v>
      </c>
      <c r="AR394" t="str">
        <v>NO</v>
      </c>
    </row>
    <row r="395" spans="1:44">
      <c r="A395" s="2">
        <v>394</v>
      </c>
      <c r="B395" t="s">
        <v>22</v>
      </c>
      <c r="C395" t="s">
        <v>17</v>
      </c>
      <c r="D395" t="s">
        <v>15</v>
      </c>
      <c r="E395" s="3">
        <v>1500</v>
      </c>
      <c r="F395" s="4">
        <v>43705</v>
      </c>
      <c r="G395" s="2" t="s">
        <v>28</v>
      </c>
      <c r="N395">
        <v>750</v>
      </c>
      <c r="O395" t="str">
        <v>PROGRAMA</v>
      </c>
      <c r="P395" t="str">
        <v>CLIENTE-0009</v>
      </c>
      <c r="Q395" t="str">
        <v>ALICANTE</v>
      </c>
      <c r="R395" s="10">
        <v>680</v>
      </c>
      <c r="S395">
        <v>44152</v>
      </c>
      <c r="T395" t="str">
        <v>SI</v>
      </c>
      <c r="AN395">
        <v>393</v>
      </c>
      <c r="AO395" t="str">
        <v>EQUIPOS</v>
      </c>
      <c r="AP395" t="str">
        <v>CLIENTE-0005</v>
      </c>
      <c r="AQ395">
        <v>950</v>
      </c>
      <c r="AR395" t="str">
        <v>NO</v>
      </c>
    </row>
    <row r="396" spans="1:44">
      <c r="A396" s="2">
        <v>395</v>
      </c>
      <c r="B396" t="s">
        <v>10</v>
      </c>
      <c r="C396" t="s">
        <v>19</v>
      </c>
      <c r="D396" t="s">
        <v>15</v>
      </c>
      <c r="E396" s="3">
        <v>5000</v>
      </c>
      <c r="F396" s="4">
        <v>43903</v>
      </c>
      <c r="G396" s="2" t="s">
        <v>12</v>
      </c>
      <c r="N396">
        <v>3</v>
      </c>
      <c r="O396" t="str">
        <v>EQUIPOS</v>
      </c>
      <c r="P396" t="str">
        <v>CLIENTE-0006</v>
      </c>
      <c r="Q396" t="str">
        <v>BARCELONA</v>
      </c>
      <c r="R396" s="10">
        <v>750</v>
      </c>
      <c r="S396">
        <v>43934</v>
      </c>
      <c r="T396" t="str">
        <v>SI</v>
      </c>
      <c r="AN396">
        <v>394</v>
      </c>
      <c r="AO396" t="str">
        <v>CONSULTORIA</v>
      </c>
      <c r="AP396" t="str">
        <v>CLIENTE-0006</v>
      </c>
      <c r="AQ396">
        <v>1500</v>
      </c>
      <c r="AR396" t="str">
        <v>NO</v>
      </c>
    </row>
    <row r="397" spans="1:44">
      <c r="A397" s="2">
        <v>396</v>
      </c>
      <c r="B397" t="s">
        <v>13</v>
      </c>
      <c r="C397" t="s">
        <v>23</v>
      </c>
      <c r="D397" t="s">
        <v>24</v>
      </c>
      <c r="E397" s="3">
        <v>6500</v>
      </c>
      <c r="F397" s="4">
        <v>43853</v>
      </c>
      <c r="G397" s="2" t="s">
        <v>12</v>
      </c>
      <c r="N397">
        <v>6</v>
      </c>
      <c r="O397" t="str">
        <v>CONSULTORIA</v>
      </c>
      <c r="P397" t="str">
        <v>CLIENTE-0004</v>
      </c>
      <c r="Q397" t="str">
        <v>MADRID</v>
      </c>
      <c r="R397" s="10">
        <v>750</v>
      </c>
      <c r="S397">
        <v>43514</v>
      </c>
      <c r="T397" t="str">
        <v>SI</v>
      </c>
      <c r="AN397">
        <v>395</v>
      </c>
      <c r="AO397" t="str">
        <v>DESARROLLO</v>
      </c>
      <c r="AP397" t="str">
        <v>CLIENTE-0007</v>
      </c>
      <c r="AQ397">
        <v>5000</v>
      </c>
      <c r="AR397" t="str">
        <v>SI</v>
      </c>
    </row>
    <row r="398" spans="1:44">
      <c r="A398" s="2">
        <v>397</v>
      </c>
      <c r="B398" t="s">
        <v>16</v>
      </c>
      <c r="C398" t="s">
        <v>25</v>
      </c>
      <c r="D398" t="s">
        <v>24</v>
      </c>
      <c r="E398" s="3">
        <v>8500</v>
      </c>
      <c r="F398" s="4">
        <v>43648</v>
      </c>
      <c r="G398" s="2" t="s">
        <v>12</v>
      </c>
      <c r="N398">
        <v>26</v>
      </c>
      <c r="O398" t="str">
        <v>PROGRAMA</v>
      </c>
      <c r="P398" t="str">
        <v>CLIENTE-0004</v>
      </c>
      <c r="Q398" t="str">
        <v>MADRID</v>
      </c>
      <c r="R398" s="10">
        <v>750</v>
      </c>
      <c r="S398">
        <v>43931</v>
      </c>
      <c r="T398" t="str">
        <v>SI</v>
      </c>
      <c r="AN398">
        <v>396</v>
      </c>
      <c r="AO398" t="str">
        <v>PROYECTO</v>
      </c>
      <c r="AP398" t="str">
        <v>CLIENTE-0008</v>
      </c>
      <c r="AQ398">
        <v>6500</v>
      </c>
      <c r="AR398" t="str">
        <v>SI</v>
      </c>
    </row>
    <row r="399" spans="1:44">
      <c r="A399" s="2">
        <v>398</v>
      </c>
      <c r="B399" t="s">
        <v>18</v>
      </c>
      <c r="C399" t="s">
        <v>26</v>
      </c>
      <c r="D399" t="s">
        <v>9</v>
      </c>
      <c r="E399" s="3">
        <v>1200</v>
      </c>
      <c r="F399" s="4">
        <v>44214</v>
      </c>
      <c r="G399" s="2" t="s">
        <v>12</v>
      </c>
      <c r="N399">
        <v>29</v>
      </c>
      <c r="O399" t="str">
        <v>PROGRAMA</v>
      </c>
      <c r="P399" t="str">
        <v>CLIENTE-0006</v>
      </c>
      <c r="Q399" t="str">
        <v>BARCELONA</v>
      </c>
      <c r="R399" s="10">
        <v>750</v>
      </c>
      <c r="S399">
        <v>43912</v>
      </c>
      <c r="T399" t="str">
        <v>SI</v>
      </c>
      <c r="AN399">
        <v>397</v>
      </c>
      <c r="AO399" t="str">
        <v>EQUIPOS</v>
      </c>
      <c r="AP399" t="str">
        <v>CLIENTE-0009</v>
      </c>
      <c r="AQ399">
        <v>8500</v>
      </c>
      <c r="AR399" t="str">
        <v>SI</v>
      </c>
    </row>
    <row r="400" spans="1:44">
      <c r="A400" s="2">
        <v>399</v>
      </c>
      <c r="B400" t="s">
        <v>20</v>
      </c>
      <c r="C400" t="s">
        <v>27</v>
      </c>
      <c r="D400" t="s">
        <v>9</v>
      </c>
      <c r="E400" s="3">
        <v>300</v>
      </c>
      <c r="F400" s="4">
        <v>43963</v>
      </c>
      <c r="G400" s="2" t="s">
        <v>12</v>
      </c>
      <c r="N400">
        <v>60</v>
      </c>
      <c r="O400" t="str">
        <v>DESARROLLO</v>
      </c>
      <c r="P400" t="str">
        <v>CLIENTE-0010</v>
      </c>
      <c r="Q400" t="str">
        <v>MADRID</v>
      </c>
      <c r="R400" s="10">
        <v>750</v>
      </c>
      <c r="S400">
        <v>44096</v>
      </c>
      <c r="T400" t="str">
        <v>NO</v>
      </c>
      <c r="AN400">
        <v>398</v>
      </c>
      <c r="AO400" t="str">
        <v>PROGRAMA</v>
      </c>
      <c r="AP400" t="str">
        <v>CLIENTE-0010</v>
      </c>
      <c r="AQ400">
        <v>1200</v>
      </c>
      <c r="AR400" t="str">
        <v>SI</v>
      </c>
    </row>
    <row r="401" spans="1:44">
      <c r="A401" s="2">
        <v>400</v>
      </c>
      <c r="B401" t="s">
        <v>22</v>
      </c>
      <c r="C401" t="s">
        <v>26</v>
      </c>
      <c r="D401" t="s">
        <v>9</v>
      </c>
      <c r="E401" s="3">
        <v>200</v>
      </c>
      <c r="F401" s="4">
        <v>44380</v>
      </c>
      <c r="G401" s="2" t="s">
        <v>12</v>
      </c>
      <c r="N401">
        <v>63</v>
      </c>
      <c r="O401" t="str">
        <v>PROGRAMA</v>
      </c>
      <c r="P401" t="str">
        <v>CLIENTE-0003</v>
      </c>
      <c r="Q401" t="str">
        <v>MADRID</v>
      </c>
      <c r="R401" s="10">
        <v>750</v>
      </c>
      <c r="S401">
        <v>43950</v>
      </c>
      <c r="T401" t="str">
        <v>SI</v>
      </c>
      <c r="AN401">
        <v>399</v>
      </c>
      <c r="AO401" t="str">
        <v>FORMACION</v>
      </c>
      <c r="AP401" t="str">
        <v>CLIENTE-0001</v>
      </c>
      <c r="AQ401">
        <v>300</v>
      </c>
      <c r="AR401" t="str">
        <v>SI</v>
      </c>
    </row>
    <row r="402" spans="1:44">
      <c r="A402" s="2">
        <v>401</v>
      </c>
      <c r="B402" t="s">
        <v>10</v>
      </c>
      <c r="C402" t="s">
        <v>27</v>
      </c>
      <c r="D402" t="s">
        <v>9</v>
      </c>
      <c r="E402" s="3">
        <v>150</v>
      </c>
      <c r="F402" s="4">
        <v>43770</v>
      </c>
      <c r="G402" s="2" t="s">
        <v>12</v>
      </c>
      <c r="N402">
        <v>72</v>
      </c>
      <c r="O402" t="str">
        <v>EQUIPOS</v>
      </c>
      <c r="P402" t="str">
        <v>CLIENTE-0005</v>
      </c>
      <c r="Q402" t="str">
        <v>BARCELONA</v>
      </c>
      <c r="R402" s="10">
        <v>750</v>
      </c>
      <c r="S402">
        <v>43977</v>
      </c>
      <c r="T402" t="str">
        <v>SI</v>
      </c>
      <c r="AN402">
        <v>400</v>
      </c>
      <c r="AO402" t="str">
        <v>CONSULTORIA</v>
      </c>
      <c r="AP402" t="str">
        <v>CLIENTE-0010</v>
      </c>
      <c r="AQ402">
        <v>200</v>
      </c>
      <c r="AR402" t="str">
        <v>SI</v>
      </c>
    </row>
    <row r="403" spans="1:44">
      <c r="A403" s="2">
        <v>402</v>
      </c>
      <c r="B403" t="s">
        <v>13</v>
      </c>
      <c r="C403" t="s">
        <v>29</v>
      </c>
      <c r="D403" t="s">
        <v>24</v>
      </c>
      <c r="E403" s="3">
        <v>120</v>
      </c>
      <c r="F403" s="4">
        <v>43520</v>
      </c>
      <c r="G403" s="2" t="s">
        <v>12</v>
      </c>
      <c r="N403">
        <v>75</v>
      </c>
      <c r="O403" t="str">
        <v>CONSULTORIA</v>
      </c>
      <c r="P403" t="str">
        <v>CLIENTE-0007</v>
      </c>
      <c r="Q403" t="str">
        <v>BARCELONA</v>
      </c>
      <c r="R403" s="10">
        <v>750</v>
      </c>
      <c r="S403">
        <v>44174</v>
      </c>
      <c r="T403" t="str">
        <v>SI</v>
      </c>
      <c r="AN403">
        <v>401</v>
      </c>
      <c r="AO403" t="str">
        <v>DESARROLLO</v>
      </c>
      <c r="AP403" t="str">
        <v>CLIENTE-0001</v>
      </c>
      <c r="AQ403">
        <v>150</v>
      </c>
      <c r="AR403" t="str">
        <v>SI</v>
      </c>
    </row>
    <row r="404" spans="1:44">
      <c r="A404" s="2">
        <v>403</v>
      </c>
      <c r="B404" t="s">
        <v>16</v>
      </c>
      <c r="C404" t="s">
        <v>21</v>
      </c>
      <c r="D404" t="s">
        <v>9</v>
      </c>
      <c r="E404" s="3">
        <v>300</v>
      </c>
      <c r="F404" s="4">
        <v>44250</v>
      </c>
      <c r="G404" s="2" t="s">
        <v>12</v>
      </c>
      <c r="N404">
        <v>95</v>
      </c>
      <c r="O404" t="str">
        <v>DESARROLLO</v>
      </c>
      <c r="P404" t="str">
        <v>CLIENTE-0003</v>
      </c>
      <c r="Q404" t="str">
        <v>MADRID</v>
      </c>
      <c r="R404" s="10">
        <v>750</v>
      </c>
      <c r="S404">
        <v>44127</v>
      </c>
      <c r="T404" t="str">
        <v>SI</v>
      </c>
      <c r="AN404">
        <v>402</v>
      </c>
      <c r="AO404" t="str">
        <v>PROYECTO</v>
      </c>
      <c r="AP404" t="str">
        <v>CLIENTE-0002</v>
      </c>
      <c r="AQ404">
        <v>120</v>
      </c>
      <c r="AR404" t="str">
        <v>SI</v>
      </c>
    </row>
    <row r="405" spans="1:44">
      <c r="A405" s="2">
        <v>404</v>
      </c>
      <c r="B405" t="s">
        <v>18</v>
      </c>
      <c r="C405" t="s">
        <v>11</v>
      </c>
      <c r="D405" t="s">
        <v>9</v>
      </c>
      <c r="E405" s="3">
        <v>350</v>
      </c>
      <c r="F405" s="4">
        <v>44178</v>
      </c>
      <c r="G405" s="2" t="s">
        <v>12</v>
      </c>
      <c r="N405">
        <v>98</v>
      </c>
      <c r="O405" t="str">
        <v>PROGRAMA</v>
      </c>
      <c r="P405" t="str">
        <v>CLIENTE-0005</v>
      </c>
      <c r="Q405" t="str">
        <v>BARCELONA</v>
      </c>
      <c r="R405" s="10">
        <v>750</v>
      </c>
      <c r="S405">
        <v>43915</v>
      </c>
      <c r="T405" t="str">
        <v>SI</v>
      </c>
      <c r="AN405">
        <v>403</v>
      </c>
      <c r="AO405" t="str">
        <v>EQUIPOS</v>
      </c>
      <c r="AP405" t="str">
        <v>CLIENTE-0003</v>
      </c>
      <c r="AQ405">
        <v>300</v>
      </c>
      <c r="AR405" t="str">
        <v>SI</v>
      </c>
    </row>
    <row r="406" spans="1:44">
      <c r="A406" s="2">
        <v>405</v>
      </c>
      <c r="B406" t="s">
        <v>20</v>
      </c>
      <c r="C406" t="s">
        <v>14</v>
      </c>
      <c r="D406" t="s">
        <v>15</v>
      </c>
      <c r="E406" s="3">
        <v>300</v>
      </c>
      <c r="F406" s="4">
        <v>43596</v>
      </c>
      <c r="G406" s="2" t="s">
        <v>12</v>
      </c>
      <c r="N406">
        <v>129</v>
      </c>
      <c r="O406" t="str">
        <v>CONSULTORIA</v>
      </c>
      <c r="P406" t="str">
        <v>CLIENTE-0004</v>
      </c>
      <c r="Q406" t="str">
        <v>MADRID</v>
      </c>
      <c r="R406" s="10">
        <v>750</v>
      </c>
      <c r="S406">
        <v>43664</v>
      </c>
      <c r="T406" t="str">
        <v>SI</v>
      </c>
      <c r="AN406">
        <v>404</v>
      </c>
      <c r="AO406" t="str">
        <v>PROGRAMA</v>
      </c>
      <c r="AP406" t="str">
        <v>CLIENTE-0004</v>
      </c>
      <c r="AQ406">
        <v>350</v>
      </c>
      <c r="AR406" t="str">
        <v>SI</v>
      </c>
    </row>
    <row r="407" spans="1:44">
      <c r="A407" s="2">
        <v>406</v>
      </c>
      <c r="B407" t="s">
        <v>22</v>
      </c>
      <c r="C407" t="s">
        <v>17</v>
      </c>
      <c r="D407" t="s">
        <v>15</v>
      </c>
      <c r="E407" s="3">
        <v>120</v>
      </c>
      <c r="F407" s="4">
        <v>43868</v>
      </c>
      <c r="G407" s="2" t="s">
        <v>12</v>
      </c>
      <c r="N407">
        <v>132</v>
      </c>
      <c r="O407" t="str">
        <v>EQUIPOS</v>
      </c>
      <c r="P407" t="str">
        <v>CLIENTE-0007</v>
      </c>
      <c r="Q407" t="str">
        <v>BARCELONA</v>
      </c>
      <c r="R407" s="10">
        <v>750</v>
      </c>
      <c r="S407">
        <v>44391</v>
      </c>
      <c r="T407" t="str">
        <v>SI</v>
      </c>
      <c r="AN407">
        <v>405</v>
      </c>
      <c r="AO407" t="str">
        <v>FORMACION</v>
      </c>
      <c r="AP407" t="str">
        <v>CLIENTE-0005</v>
      </c>
      <c r="AQ407">
        <v>300</v>
      </c>
      <c r="AR407" t="str">
        <v>SI</v>
      </c>
    </row>
    <row r="408" spans="1:44">
      <c r="A408" s="2">
        <v>407</v>
      </c>
      <c r="B408" t="s">
        <v>10</v>
      </c>
      <c r="C408" t="s">
        <v>19</v>
      </c>
      <c r="D408" t="s">
        <v>15</v>
      </c>
      <c r="E408" s="3">
        <v>150</v>
      </c>
      <c r="F408" s="4">
        <v>44050</v>
      </c>
      <c r="G408" s="2" t="s">
        <v>12</v>
      </c>
      <c r="N408">
        <v>141</v>
      </c>
      <c r="O408" t="str">
        <v>CONSULTORIA</v>
      </c>
      <c r="P408" t="str">
        <v>CLIENTE-0004</v>
      </c>
      <c r="Q408" t="str">
        <v>MADRID</v>
      </c>
      <c r="R408" s="10">
        <v>750</v>
      </c>
      <c r="S408">
        <v>43712</v>
      </c>
      <c r="T408" t="str">
        <v>NO</v>
      </c>
      <c r="AN408">
        <v>406</v>
      </c>
      <c r="AO408" t="str">
        <v>CONSULTORIA</v>
      </c>
      <c r="AP408" t="str">
        <v>CLIENTE-0006</v>
      </c>
      <c r="AQ408">
        <v>120</v>
      </c>
      <c r="AR408" t="str">
        <v>SI</v>
      </c>
    </row>
    <row r="409" spans="1:44">
      <c r="A409" s="2">
        <v>408</v>
      </c>
      <c r="B409" t="s">
        <v>13</v>
      </c>
      <c r="C409" t="s">
        <v>23</v>
      </c>
      <c r="D409" t="s">
        <v>24</v>
      </c>
      <c r="E409" s="3">
        <v>8500</v>
      </c>
      <c r="F409" s="4">
        <v>43514</v>
      </c>
      <c r="G409" s="2" t="s">
        <v>12</v>
      </c>
      <c r="N409">
        <v>144</v>
      </c>
      <c r="O409" t="str">
        <v>EQUIPOS</v>
      </c>
      <c r="P409" t="str">
        <v>CLIENTE-0006</v>
      </c>
      <c r="Q409" t="str">
        <v>BARCELONA</v>
      </c>
      <c r="R409" s="10">
        <v>750</v>
      </c>
      <c r="S409">
        <v>44112</v>
      </c>
      <c r="T409" t="str">
        <v>NO</v>
      </c>
      <c r="AN409">
        <v>407</v>
      </c>
      <c r="AO409" t="str">
        <v>DESARROLLO</v>
      </c>
      <c r="AP409" t="str">
        <v>CLIENTE-0007</v>
      </c>
      <c r="AQ409">
        <v>150</v>
      </c>
      <c r="AR409" t="str">
        <v>SI</v>
      </c>
    </row>
    <row r="410" spans="1:44">
      <c r="A410" s="2">
        <v>409</v>
      </c>
      <c r="B410" t="s">
        <v>16</v>
      </c>
      <c r="C410" t="s">
        <v>25</v>
      </c>
      <c r="D410" t="s">
        <v>24</v>
      </c>
      <c r="E410" s="3">
        <v>1200</v>
      </c>
      <c r="F410" s="4">
        <v>44467</v>
      </c>
      <c r="G410" s="2" t="s">
        <v>28</v>
      </c>
      <c r="N410">
        <v>164</v>
      </c>
      <c r="O410" t="str">
        <v>DESARROLLO</v>
      </c>
      <c r="P410" t="str">
        <v>CLIENTE-0006</v>
      </c>
      <c r="Q410" t="str">
        <v>BARCELONA</v>
      </c>
      <c r="R410" s="10">
        <v>750</v>
      </c>
      <c r="S410">
        <v>44452</v>
      </c>
      <c r="T410" t="str">
        <v>SI</v>
      </c>
      <c r="AN410">
        <v>408</v>
      </c>
      <c r="AO410" t="str">
        <v>PROYECTO</v>
      </c>
      <c r="AP410" t="str">
        <v>CLIENTE-0008</v>
      </c>
      <c r="AQ410">
        <v>8500</v>
      </c>
      <c r="AR410" t="str">
        <v>SI</v>
      </c>
    </row>
    <row r="411" spans="1:44">
      <c r="A411" s="2">
        <v>410</v>
      </c>
      <c r="B411" t="s">
        <v>18</v>
      </c>
      <c r="C411" t="s">
        <v>26</v>
      </c>
      <c r="D411" t="s">
        <v>9</v>
      </c>
      <c r="E411" s="3">
        <v>300</v>
      </c>
      <c r="F411" s="4">
        <v>44408</v>
      </c>
      <c r="G411" s="2" t="s">
        <v>28</v>
      </c>
      <c r="N411">
        <v>167</v>
      </c>
      <c r="O411" t="str">
        <v>PROGRAMA</v>
      </c>
      <c r="P411" t="str">
        <v>CLIENTE-0009</v>
      </c>
      <c r="Q411" t="str">
        <v>ALICANTE</v>
      </c>
      <c r="R411" s="10">
        <v>750</v>
      </c>
      <c r="S411">
        <v>44449</v>
      </c>
      <c r="T411" t="str">
        <v>SI</v>
      </c>
      <c r="AN411">
        <v>409</v>
      </c>
      <c r="AO411" t="str">
        <v>EQUIPOS</v>
      </c>
      <c r="AP411" t="str">
        <v>CLIENTE-0009</v>
      </c>
      <c r="AQ411">
        <v>1200</v>
      </c>
      <c r="AR411" t="str">
        <v>NO</v>
      </c>
    </row>
    <row r="412" spans="1:44">
      <c r="A412" s="2">
        <v>411</v>
      </c>
      <c r="B412" t="s">
        <v>20</v>
      </c>
      <c r="C412" t="s">
        <v>11</v>
      </c>
      <c r="D412" t="s">
        <v>9</v>
      </c>
      <c r="E412" s="3">
        <v>200</v>
      </c>
      <c r="F412" s="4">
        <v>44188</v>
      </c>
      <c r="G412" s="2" t="s">
        <v>28</v>
      </c>
      <c r="N412">
        <v>198</v>
      </c>
      <c r="O412" t="str">
        <v>CONSULTORIA</v>
      </c>
      <c r="P412" t="str">
        <v>CLIENTE-0008</v>
      </c>
      <c r="Q412" t="str">
        <v>ALICANTE</v>
      </c>
      <c r="R412" s="10">
        <v>750</v>
      </c>
      <c r="S412">
        <v>43576</v>
      </c>
      <c r="T412" t="str">
        <v>SI</v>
      </c>
      <c r="AN412">
        <v>410</v>
      </c>
      <c r="AO412" t="str">
        <v>PROGRAMA</v>
      </c>
      <c r="AP412" t="str">
        <v>CLIENTE-0010</v>
      </c>
      <c r="AQ412">
        <v>300</v>
      </c>
      <c r="AR412" t="str">
        <v>NO</v>
      </c>
    </row>
    <row r="413" spans="1:44">
      <c r="A413" s="2">
        <v>412</v>
      </c>
      <c r="B413" t="s">
        <v>22</v>
      </c>
      <c r="C413" t="s">
        <v>14</v>
      </c>
      <c r="D413" t="s">
        <v>15</v>
      </c>
      <c r="E413" s="3">
        <v>150</v>
      </c>
      <c r="F413" s="4">
        <v>43808</v>
      </c>
      <c r="G413" s="2" t="s">
        <v>28</v>
      </c>
      <c r="N413">
        <v>201</v>
      </c>
      <c r="O413" t="str">
        <v>EQUIPOS</v>
      </c>
      <c r="P413" t="str">
        <v>CLIENTE-0004</v>
      </c>
      <c r="Q413" t="str">
        <v>MADRID</v>
      </c>
      <c r="R413" s="10">
        <v>750</v>
      </c>
      <c r="S413">
        <v>44437</v>
      </c>
      <c r="T413" t="str">
        <v>SI</v>
      </c>
      <c r="AN413">
        <v>411</v>
      </c>
      <c r="AO413" t="str">
        <v>FORMACION</v>
      </c>
      <c r="AP413" t="str">
        <v>CLIENTE-0004</v>
      </c>
      <c r="AQ413">
        <v>200</v>
      </c>
      <c r="AR413" t="str">
        <v>NO</v>
      </c>
    </row>
    <row r="414" spans="1:44">
      <c r="A414" s="2">
        <v>413</v>
      </c>
      <c r="B414" t="s">
        <v>10</v>
      </c>
      <c r="C414" t="s">
        <v>14</v>
      </c>
      <c r="D414" t="s">
        <v>15</v>
      </c>
      <c r="E414" s="3">
        <v>120</v>
      </c>
      <c r="F414" s="4">
        <v>44434</v>
      </c>
      <c r="G414" s="2" t="s">
        <v>28</v>
      </c>
      <c r="N414">
        <v>210</v>
      </c>
      <c r="O414" t="str">
        <v>EQUIPOS</v>
      </c>
      <c r="P414" t="str">
        <v>CLIENTE-0010</v>
      </c>
      <c r="Q414" t="str">
        <v>MADRID</v>
      </c>
      <c r="R414" s="10">
        <v>750</v>
      </c>
      <c r="S414">
        <v>44069</v>
      </c>
      <c r="T414" t="str">
        <v>NO</v>
      </c>
      <c r="AN414">
        <v>412</v>
      </c>
      <c r="AO414" t="str">
        <v>CONSULTORIA</v>
      </c>
      <c r="AP414" t="str">
        <v>CLIENTE-0005</v>
      </c>
      <c r="AQ414">
        <v>150</v>
      </c>
      <c r="AR414" t="str">
        <v>NO</v>
      </c>
    </row>
    <row r="415" spans="1:44">
      <c r="A415" s="2">
        <v>414</v>
      </c>
      <c r="B415" t="s">
        <v>10</v>
      </c>
      <c r="C415" t="s">
        <v>17</v>
      </c>
      <c r="D415" t="s">
        <v>15</v>
      </c>
      <c r="E415" s="3">
        <v>300</v>
      </c>
      <c r="F415" s="4">
        <v>44337</v>
      </c>
      <c r="G415" s="2" t="s">
        <v>28</v>
      </c>
      <c r="N415">
        <v>213</v>
      </c>
      <c r="O415" t="str">
        <v>PROYECTO</v>
      </c>
      <c r="P415" t="str">
        <v>CLIENTE-0003</v>
      </c>
      <c r="Q415" t="str">
        <v>MADRID</v>
      </c>
      <c r="R415" s="10">
        <v>750</v>
      </c>
      <c r="S415">
        <v>44170</v>
      </c>
      <c r="T415" t="str">
        <v>NO</v>
      </c>
      <c r="AN415">
        <v>413</v>
      </c>
      <c r="AO415" t="str">
        <v>DESARROLLO</v>
      </c>
      <c r="AP415" t="str">
        <v>CLIENTE-0005</v>
      </c>
      <c r="AQ415">
        <v>120</v>
      </c>
      <c r="AR415" t="str">
        <v>NO</v>
      </c>
    </row>
    <row r="416" spans="1:44">
      <c r="A416" s="2">
        <v>415</v>
      </c>
      <c r="B416" t="s">
        <v>13</v>
      </c>
      <c r="C416" t="s">
        <v>19</v>
      </c>
      <c r="D416" t="s">
        <v>15</v>
      </c>
      <c r="E416" s="3">
        <v>350</v>
      </c>
      <c r="F416" s="4">
        <v>44198</v>
      </c>
      <c r="G416" s="2" t="s">
        <v>28</v>
      </c>
      <c r="N416">
        <v>233</v>
      </c>
      <c r="O416" t="str">
        <v>PROGRAMA</v>
      </c>
      <c r="P416" t="str">
        <v>CLIENTE-0010</v>
      </c>
      <c r="Q416" t="str">
        <v>MADRID</v>
      </c>
      <c r="R416" s="10">
        <v>750</v>
      </c>
      <c r="S416">
        <v>44527</v>
      </c>
      <c r="T416" t="str">
        <v>SI</v>
      </c>
      <c r="AN416">
        <v>414</v>
      </c>
      <c r="AO416" t="str">
        <v>DESARROLLO</v>
      </c>
      <c r="AP416" t="str">
        <v>CLIENTE-0006</v>
      </c>
      <c r="AQ416">
        <v>300</v>
      </c>
      <c r="AR416" t="str">
        <v>NO</v>
      </c>
    </row>
    <row r="417" spans="1:44">
      <c r="A417" s="2">
        <v>416</v>
      </c>
      <c r="B417" t="s">
        <v>16</v>
      </c>
      <c r="C417" t="s">
        <v>23</v>
      </c>
      <c r="D417" t="s">
        <v>24</v>
      </c>
      <c r="E417" s="3">
        <v>300</v>
      </c>
      <c r="F417" s="4">
        <v>43666</v>
      </c>
      <c r="G417" s="2" t="s">
        <v>12</v>
      </c>
      <c r="N417">
        <v>236</v>
      </c>
      <c r="O417" t="str">
        <v>DESARROLLO</v>
      </c>
      <c r="P417" t="str">
        <v>CLIENTE-0001</v>
      </c>
      <c r="Q417" t="str">
        <v>MADRID</v>
      </c>
      <c r="R417" s="10">
        <v>750</v>
      </c>
      <c r="S417">
        <v>44047</v>
      </c>
      <c r="T417" t="str">
        <v>SI</v>
      </c>
      <c r="AN417">
        <v>415</v>
      </c>
      <c r="AO417" t="str">
        <v>PROYECTO</v>
      </c>
      <c r="AP417" t="str">
        <v>CLIENTE-0007</v>
      </c>
      <c r="AQ417">
        <v>350</v>
      </c>
      <c r="AR417" t="str">
        <v>NO</v>
      </c>
    </row>
    <row r="418" spans="1:44">
      <c r="A418" s="2">
        <v>417</v>
      </c>
      <c r="B418" t="s">
        <v>18</v>
      </c>
      <c r="C418" t="s">
        <v>25</v>
      </c>
      <c r="D418" t="s">
        <v>24</v>
      </c>
      <c r="E418" s="3">
        <v>120</v>
      </c>
      <c r="F418" s="4">
        <v>43522</v>
      </c>
      <c r="G418" s="2" t="s">
        <v>12</v>
      </c>
      <c r="N418">
        <v>267</v>
      </c>
      <c r="O418" t="str">
        <v>EQUIPOS</v>
      </c>
      <c r="P418" t="str">
        <v>CLIENTE-0010</v>
      </c>
      <c r="Q418" t="str">
        <v>MADRID</v>
      </c>
      <c r="R418" s="10">
        <v>750</v>
      </c>
      <c r="S418">
        <v>43570</v>
      </c>
      <c r="T418" t="str">
        <v>SI</v>
      </c>
      <c r="AN418">
        <v>416</v>
      </c>
      <c r="AO418" t="str">
        <v>EQUIPOS</v>
      </c>
      <c r="AP418" t="str">
        <v>CLIENTE-0008</v>
      </c>
      <c r="AQ418">
        <v>300</v>
      </c>
      <c r="AR418" t="str">
        <v>SI</v>
      </c>
    </row>
    <row r="419" spans="1:44">
      <c r="A419" s="2">
        <v>418</v>
      </c>
      <c r="B419" t="s">
        <v>20</v>
      </c>
      <c r="C419" t="s">
        <v>26</v>
      </c>
      <c r="D419" t="s">
        <v>9</v>
      </c>
      <c r="E419" s="3">
        <v>150</v>
      </c>
      <c r="F419" s="4">
        <v>44242</v>
      </c>
      <c r="G419" s="2" t="s">
        <v>12</v>
      </c>
      <c r="N419">
        <v>270</v>
      </c>
      <c r="O419" t="str">
        <v>CONSULTORIA</v>
      </c>
      <c r="P419" t="str">
        <v>CLIENTE-0001</v>
      </c>
      <c r="Q419" t="str">
        <v>MADRID</v>
      </c>
      <c r="R419" s="10">
        <v>750</v>
      </c>
      <c r="S419">
        <v>44428</v>
      </c>
      <c r="T419" t="str">
        <v>SI</v>
      </c>
      <c r="AN419">
        <v>417</v>
      </c>
      <c r="AO419" t="str">
        <v>PROGRAMA</v>
      </c>
      <c r="AP419" t="str">
        <v>CLIENTE-0009</v>
      </c>
      <c r="AQ419">
        <v>120</v>
      </c>
      <c r="AR419" t="str">
        <v>SI</v>
      </c>
    </row>
    <row r="420" spans="1:44">
      <c r="A420" s="2">
        <v>419</v>
      </c>
      <c r="B420" t="s">
        <v>22</v>
      </c>
      <c r="C420" t="s">
        <v>27</v>
      </c>
      <c r="D420" t="s">
        <v>9</v>
      </c>
      <c r="E420" s="3">
        <v>1200</v>
      </c>
      <c r="F420" s="4">
        <v>44155</v>
      </c>
      <c r="G420" s="2" t="s">
        <v>12</v>
      </c>
      <c r="N420">
        <v>279</v>
      </c>
      <c r="O420" t="str">
        <v>EQUIPOS</v>
      </c>
      <c r="P420" t="str">
        <v>CLIENTE-0010</v>
      </c>
      <c r="Q420" t="str">
        <v>MADRID</v>
      </c>
      <c r="R420" s="10">
        <v>750</v>
      </c>
      <c r="S420">
        <v>44409</v>
      </c>
      <c r="T420" t="str">
        <v>NO</v>
      </c>
      <c r="AN420">
        <v>418</v>
      </c>
      <c r="AO420" t="str">
        <v>FORMACION</v>
      </c>
      <c r="AP420" t="str">
        <v>CLIENTE-0010</v>
      </c>
      <c r="AQ420">
        <v>150</v>
      </c>
      <c r="AR420" t="str">
        <v>SI</v>
      </c>
    </row>
    <row r="421" spans="1:44">
      <c r="A421" s="2">
        <v>420</v>
      </c>
      <c r="B421" t="s">
        <v>10</v>
      </c>
      <c r="C421" t="s">
        <v>26</v>
      </c>
      <c r="D421" t="s">
        <v>9</v>
      </c>
      <c r="E421" s="3">
        <v>800</v>
      </c>
      <c r="F421" s="4">
        <v>44534</v>
      </c>
      <c r="G421" s="2" t="s">
        <v>12</v>
      </c>
      <c r="N421">
        <v>310</v>
      </c>
      <c r="O421" t="str">
        <v>FORMACION</v>
      </c>
      <c r="P421" t="str">
        <v>CLIENTE-0001</v>
      </c>
      <c r="Q421" t="str">
        <v>MADRID</v>
      </c>
      <c r="R421" s="10">
        <v>750</v>
      </c>
      <c r="S421">
        <v>44079</v>
      </c>
      <c r="T421" t="str">
        <v>NO</v>
      </c>
      <c r="AN421">
        <v>419</v>
      </c>
      <c r="AO421" t="str">
        <v>CONSULTORIA</v>
      </c>
      <c r="AP421" t="str">
        <v>CLIENTE-0001</v>
      </c>
      <c r="AQ421">
        <v>1200</v>
      </c>
      <c r="AR421" t="str">
        <v>SI</v>
      </c>
    </row>
    <row r="422" spans="1:44">
      <c r="A422" s="2">
        <v>421</v>
      </c>
      <c r="B422" t="s">
        <v>13</v>
      </c>
      <c r="C422" t="s">
        <v>27</v>
      </c>
      <c r="D422" t="s">
        <v>9</v>
      </c>
      <c r="E422" s="3">
        <v>750</v>
      </c>
      <c r="F422" s="4">
        <v>43495</v>
      </c>
      <c r="G422" s="2" t="s">
        <v>12</v>
      </c>
      <c r="N422">
        <v>313</v>
      </c>
      <c r="O422" t="str">
        <v>PROYECTO</v>
      </c>
      <c r="P422" t="str">
        <v>CLIENTE-0004</v>
      </c>
      <c r="Q422" t="str">
        <v>MADRID</v>
      </c>
      <c r="R422" s="10">
        <v>750</v>
      </c>
      <c r="S422">
        <v>43721</v>
      </c>
      <c r="T422" t="str">
        <v>SI</v>
      </c>
      <c r="AN422">
        <v>420</v>
      </c>
      <c r="AO422" t="str">
        <v>DESARROLLO</v>
      </c>
      <c r="AP422" t="str">
        <v>CLIENTE-0010</v>
      </c>
      <c r="AQ422">
        <v>800</v>
      </c>
      <c r="AR422" t="str">
        <v>SI</v>
      </c>
    </row>
    <row r="423" spans="1:44">
      <c r="A423" s="2">
        <v>422</v>
      </c>
      <c r="B423" t="s">
        <v>16</v>
      </c>
      <c r="C423" t="s">
        <v>29</v>
      </c>
      <c r="D423" t="s">
        <v>24</v>
      </c>
      <c r="E423" s="3">
        <v>4500</v>
      </c>
      <c r="F423" s="4">
        <v>44211</v>
      </c>
      <c r="G423" s="2" t="s">
        <v>12</v>
      </c>
      <c r="N423">
        <v>322</v>
      </c>
      <c r="O423" t="str">
        <v>FORMACION</v>
      </c>
      <c r="P423" t="str">
        <v>CLIENTE-0005</v>
      </c>
      <c r="Q423" t="str">
        <v>BARCELONA</v>
      </c>
      <c r="R423" s="10">
        <v>750</v>
      </c>
      <c r="S423">
        <v>44217</v>
      </c>
      <c r="T423" t="str">
        <v>NO</v>
      </c>
      <c r="AN423">
        <v>421</v>
      </c>
      <c r="AO423" t="str">
        <v>PROYECTO</v>
      </c>
      <c r="AP423" t="str">
        <v>CLIENTE-0001</v>
      </c>
      <c r="AQ423">
        <v>750</v>
      </c>
      <c r="AR423" t="str">
        <v>SI</v>
      </c>
    </row>
    <row r="424" spans="1:44">
      <c r="A424" s="2">
        <v>423</v>
      </c>
      <c r="B424" t="s">
        <v>18</v>
      </c>
      <c r="C424" t="s">
        <v>21</v>
      </c>
      <c r="D424" t="s">
        <v>9</v>
      </c>
      <c r="E424" s="3">
        <v>500</v>
      </c>
      <c r="F424" s="4">
        <v>44208</v>
      </c>
      <c r="G424" s="2" t="s">
        <v>12</v>
      </c>
      <c r="N424">
        <v>325</v>
      </c>
      <c r="O424" t="str">
        <v>PROYECTO</v>
      </c>
      <c r="P424" t="str">
        <v>CLIENTE-0008</v>
      </c>
      <c r="Q424" t="str">
        <v>ALICANTE</v>
      </c>
      <c r="R424" s="10">
        <v>750</v>
      </c>
      <c r="S424">
        <v>44116</v>
      </c>
      <c r="T424" t="str">
        <v>SI</v>
      </c>
      <c r="AN424">
        <v>422</v>
      </c>
      <c r="AO424" t="str">
        <v>EQUIPOS</v>
      </c>
      <c r="AP424" t="str">
        <v>CLIENTE-0002</v>
      </c>
      <c r="AQ424">
        <v>4500</v>
      </c>
      <c r="AR424" t="str">
        <v>SI</v>
      </c>
    </row>
    <row r="425" spans="1:44">
      <c r="A425" s="2">
        <v>424</v>
      </c>
      <c r="B425" t="s">
        <v>20</v>
      </c>
      <c r="C425" t="s">
        <v>11</v>
      </c>
      <c r="D425" t="s">
        <v>9</v>
      </c>
      <c r="E425" s="3">
        <v>750</v>
      </c>
      <c r="F425" s="4">
        <v>43644</v>
      </c>
      <c r="G425" s="2" t="s">
        <v>12</v>
      </c>
      <c r="N425">
        <v>345</v>
      </c>
      <c r="O425" t="str">
        <v>CONSULTORIA</v>
      </c>
      <c r="P425" t="str">
        <v>CLIENTE-0004</v>
      </c>
      <c r="Q425" t="str">
        <v>MADRID</v>
      </c>
      <c r="R425" s="10">
        <v>750</v>
      </c>
      <c r="S425">
        <v>43697</v>
      </c>
      <c r="T425" t="str">
        <v>SI</v>
      </c>
      <c r="AN425">
        <v>423</v>
      </c>
      <c r="AO425" t="str">
        <v>PROGRAMA</v>
      </c>
      <c r="AP425" t="str">
        <v>CLIENTE-0003</v>
      </c>
      <c r="AQ425">
        <v>500</v>
      </c>
      <c r="AR425" t="str">
        <v>SI</v>
      </c>
    </row>
    <row r="426" spans="1:44">
      <c r="A426" s="2">
        <v>425</v>
      </c>
      <c r="B426" t="s">
        <v>22</v>
      </c>
      <c r="C426" t="s">
        <v>14</v>
      </c>
      <c r="D426" t="s">
        <v>15</v>
      </c>
      <c r="E426" s="3">
        <v>950</v>
      </c>
      <c r="F426" s="4">
        <v>43847</v>
      </c>
      <c r="G426" s="2" t="s">
        <v>12</v>
      </c>
      <c r="N426">
        <v>348</v>
      </c>
      <c r="O426" t="str">
        <v>EQUIPOS</v>
      </c>
      <c r="P426" t="str">
        <v>CLIENTE-0006</v>
      </c>
      <c r="Q426" t="str">
        <v>BARCELONA</v>
      </c>
      <c r="R426" s="10">
        <v>750</v>
      </c>
      <c r="S426">
        <v>44556</v>
      </c>
      <c r="T426" t="str">
        <v>NO</v>
      </c>
      <c r="AN426">
        <v>424</v>
      </c>
      <c r="AO426" t="str">
        <v>FORMACION</v>
      </c>
      <c r="AP426" t="str">
        <v>CLIENTE-0004</v>
      </c>
      <c r="AQ426">
        <v>750</v>
      </c>
      <c r="AR426" t="str">
        <v>SI</v>
      </c>
    </row>
    <row r="427" spans="1:44">
      <c r="A427" s="2">
        <v>426</v>
      </c>
      <c r="B427" t="s">
        <v>10</v>
      </c>
      <c r="C427" t="s">
        <v>17</v>
      </c>
      <c r="D427" t="s">
        <v>15</v>
      </c>
      <c r="E427" s="3">
        <v>680</v>
      </c>
      <c r="F427" s="4">
        <v>44218</v>
      </c>
      <c r="G427" s="2" t="s">
        <v>12</v>
      </c>
      <c r="N427">
        <v>387</v>
      </c>
      <c r="O427" t="str">
        <v>EQUIPOS</v>
      </c>
      <c r="P427" t="str">
        <v>CLIENTE-0005</v>
      </c>
      <c r="Q427" t="str">
        <v>BARCELONA</v>
      </c>
      <c r="R427" s="10">
        <v>750</v>
      </c>
      <c r="S427">
        <v>43495</v>
      </c>
      <c r="T427" t="str">
        <v>SI</v>
      </c>
      <c r="AN427">
        <v>425</v>
      </c>
      <c r="AO427" t="str">
        <v>CONSULTORIA</v>
      </c>
      <c r="AP427" t="str">
        <v>CLIENTE-0005</v>
      </c>
      <c r="AQ427">
        <v>950</v>
      </c>
      <c r="AR427" t="str">
        <v>SI</v>
      </c>
    </row>
    <row r="428" spans="1:44">
      <c r="A428" s="2">
        <v>427</v>
      </c>
      <c r="B428" t="s">
        <v>13</v>
      </c>
      <c r="C428" t="s">
        <v>19</v>
      </c>
      <c r="D428" t="s">
        <v>15</v>
      </c>
      <c r="E428" s="3">
        <v>950</v>
      </c>
      <c r="F428" s="4">
        <v>43966</v>
      </c>
      <c r="G428" s="2" t="s">
        <v>12</v>
      </c>
      <c r="N428">
        <v>390</v>
      </c>
      <c r="O428" t="str">
        <v>CONSULTORIA</v>
      </c>
      <c r="P428" t="str">
        <v>CLIENTE-0003</v>
      </c>
      <c r="Q428" t="str">
        <v>MADRID</v>
      </c>
      <c r="R428" s="10">
        <v>750</v>
      </c>
      <c r="S428">
        <v>43984</v>
      </c>
      <c r="T428" t="str">
        <v>SI</v>
      </c>
      <c r="AN428">
        <v>426</v>
      </c>
      <c r="AO428" t="str">
        <v>DESARROLLO</v>
      </c>
      <c r="AP428" t="str">
        <v>CLIENTE-0006</v>
      </c>
      <c r="AQ428">
        <v>680</v>
      </c>
      <c r="AR428" t="str">
        <v>SI</v>
      </c>
    </row>
    <row r="429" spans="1:44">
      <c r="A429" s="2">
        <v>428</v>
      </c>
      <c r="B429" t="s">
        <v>16</v>
      </c>
      <c r="C429" t="s">
        <v>23</v>
      </c>
      <c r="D429" t="s">
        <v>24</v>
      </c>
      <c r="E429" s="3">
        <v>1500</v>
      </c>
      <c r="F429" s="4">
        <v>43801</v>
      </c>
      <c r="G429" s="2" t="s">
        <v>12</v>
      </c>
      <c r="N429">
        <v>421</v>
      </c>
      <c r="O429" t="str">
        <v>PROYECTO</v>
      </c>
      <c r="P429" t="str">
        <v>CLIENTE-0001</v>
      </c>
      <c r="Q429" t="str">
        <v>MADRID</v>
      </c>
      <c r="R429" s="10">
        <v>750</v>
      </c>
      <c r="S429">
        <v>43495</v>
      </c>
      <c r="T429" t="str">
        <v>SI</v>
      </c>
      <c r="AN429">
        <v>427</v>
      </c>
      <c r="AO429" t="str">
        <v>PROYECTO</v>
      </c>
      <c r="AP429" t="str">
        <v>CLIENTE-0007</v>
      </c>
      <c r="AQ429">
        <v>950</v>
      </c>
      <c r="AR429" t="str">
        <v>SI</v>
      </c>
    </row>
    <row r="430" spans="1:44">
      <c r="A430" s="2">
        <v>429</v>
      </c>
      <c r="B430" t="s">
        <v>22</v>
      </c>
      <c r="C430" t="s">
        <v>25</v>
      </c>
      <c r="D430" t="s">
        <v>24</v>
      </c>
      <c r="E430" s="3">
        <v>5000</v>
      </c>
      <c r="F430" s="4">
        <v>43934</v>
      </c>
      <c r="G430" s="2" t="s">
        <v>12</v>
      </c>
      <c r="N430">
        <v>424</v>
      </c>
      <c r="O430" t="str">
        <v>FORMACION</v>
      </c>
      <c r="P430" t="str">
        <v>CLIENTE-0004</v>
      </c>
      <c r="Q430" t="str">
        <v>MADRID</v>
      </c>
      <c r="R430" s="10">
        <v>750</v>
      </c>
      <c r="S430">
        <v>43644</v>
      </c>
      <c r="T430" t="str">
        <v>SI</v>
      </c>
      <c r="AN430">
        <v>428</v>
      </c>
      <c r="AO430" t="str">
        <v>EQUIPOS</v>
      </c>
      <c r="AP430" t="str">
        <v>CLIENTE-0008</v>
      </c>
      <c r="AQ430">
        <v>1500</v>
      </c>
      <c r="AR430" t="str">
        <v>SI</v>
      </c>
    </row>
    <row r="431" spans="1:44">
      <c r="A431" s="2">
        <v>430</v>
      </c>
      <c r="B431" t="s">
        <v>10</v>
      </c>
      <c r="C431" t="s">
        <v>26</v>
      </c>
      <c r="D431" t="s">
        <v>9</v>
      </c>
      <c r="E431" s="3">
        <v>6500</v>
      </c>
      <c r="F431" s="4">
        <v>44123</v>
      </c>
      <c r="G431" s="2" t="s">
        <v>12</v>
      </c>
      <c r="N431">
        <v>433</v>
      </c>
      <c r="O431" t="str">
        <v>PROGRAMA</v>
      </c>
      <c r="P431" t="str">
        <v>CLIENTE-0006</v>
      </c>
      <c r="Q431" t="str">
        <v>BARCELONA</v>
      </c>
      <c r="R431" s="10">
        <v>750</v>
      </c>
      <c r="S431">
        <v>44340</v>
      </c>
      <c r="T431" t="str">
        <v>SI</v>
      </c>
      <c r="AN431">
        <v>429</v>
      </c>
      <c r="AO431" t="str">
        <v>CONSULTORIA</v>
      </c>
      <c r="AP431" t="str">
        <v>CLIENTE-0009</v>
      </c>
      <c r="AQ431">
        <v>5000</v>
      </c>
      <c r="AR431" t="str">
        <v>SI</v>
      </c>
    </row>
    <row r="432" spans="1:44">
      <c r="A432" s="2">
        <v>431</v>
      </c>
      <c r="B432" t="s">
        <v>13</v>
      </c>
      <c r="C432" t="s">
        <v>11</v>
      </c>
      <c r="D432" t="s">
        <v>9</v>
      </c>
      <c r="E432" s="3">
        <v>1200</v>
      </c>
      <c r="F432" s="4">
        <v>43940</v>
      </c>
      <c r="G432" s="2" t="s">
        <v>12</v>
      </c>
      <c r="N432">
        <v>436</v>
      </c>
      <c r="O432" t="str">
        <v>DESARROLLO</v>
      </c>
      <c r="P432" t="str">
        <v>CLIENTE-0004</v>
      </c>
      <c r="Q432" t="str">
        <v>MADRID</v>
      </c>
      <c r="R432" s="10">
        <v>750</v>
      </c>
      <c r="S432">
        <v>44538</v>
      </c>
      <c r="T432" t="str">
        <v>SI</v>
      </c>
      <c r="AN432">
        <v>430</v>
      </c>
      <c r="AO432" t="str">
        <v>DESARROLLO</v>
      </c>
      <c r="AP432" t="str">
        <v>CLIENTE-0010</v>
      </c>
      <c r="AQ432">
        <v>6500</v>
      </c>
      <c r="AR432" t="str">
        <v>SI</v>
      </c>
    </row>
    <row r="433" spans="1:44">
      <c r="A433" s="2">
        <v>432</v>
      </c>
      <c r="B433" t="s">
        <v>16</v>
      </c>
      <c r="C433" t="s">
        <v>14</v>
      </c>
      <c r="D433" t="s">
        <v>15</v>
      </c>
      <c r="E433" s="3">
        <v>800</v>
      </c>
      <c r="F433" s="4">
        <v>43722</v>
      </c>
      <c r="G433" s="2" t="s">
        <v>12</v>
      </c>
      <c r="N433">
        <v>456</v>
      </c>
      <c r="O433" t="str">
        <v>PROYECTO</v>
      </c>
      <c r="P433" t="str">
        <v>CLIENTE-0004</v>
      </c>
      <c r="Q433" t="str">
        <v>MADRID</v>
      </c>
      <c r="R433" s="10">
        <v>750</v>
      </c>
      <c r="S433">
        <v>44275</v>
      </c>
      <c r="T433" t="str">
        <v>NO</v>
      </c>
      <c r="AN433">
        <v>431</v>
      </c>
      <c r="AO433" t="str">
        <v>PROYECTO</v>
      </c>
      <c r="AP433" t="str">
        <v>CLIENTE-0004</v>
      </c>
      <c r="AQ433">
        <v>1200</v>
      </c>
      <c r="AR433" t="str">
        <v>SI</v>
      </c>
    </row>
    <row r="434" spans="1:44">
      <c r="A434" s="2">
        <v>433</v>
      </c>
      <c r="B434" t="s">
        <v>18</v>
      </c>
      <c r="C434" t="s">
        <v>17</v>
      </c>
      <c r="D434" t="s">
        <v>15</v>
      </c>
      <c r="E434" s="3">
        <v>750</v>
      </c>
      <c r="F434" s="4">
        <v>44340</v>
      </c>
      <c r="G434" s="2" t="s">
        <v>12</v>
      </c>
      <c r="N434">
        <v>459</v>
      </c>
      <c r="O434" t="str">
        <v>FORMACION</v>
      </c>
      <c r="P434" t="str">
        <v>CLIENTE-0006</v>
      </c>
      <c r="Q434" t="str">
        <v>BARCELONA</v>
      </c>
      <c r="R434" s="10">
        <v>750</v>
      </c>
      <c r="S434">
        <v>44388</v>
      </c>
      <c r="T434" t="str">
        <v>SI</v>
      </c>
      <c r="AN434">
        <v>432</v>
      </c>
      <c r="AO434" t="str">
        <v>EQUIPOS</v>
      </c>
      <c r="AP434" t="str">
        <v>CLIENTE-0005</v>
      </c>
      <c r="AQ434">
        <v>800</v>
      </c>
      <c r="AR434" t="str">
        <v>SI</v>
      </c>
    </row>
    <row r="435" spans="1:44">
      <c r="A435" s="2">
        <v>434</v>
      </c>
      <c r="B435" t="s">
        <v>20</v>
      </c>
      <c r="C435" t="s">
        <v>19</v>
      </c>
      <c r="D435" t="s">
        <v>15</v>
      </c>
      <c r="E435" s="3">
        <v>4500</v>
      </c>
      <c r="F435" s="4">
        <v>43598</v>
      </c>
      <c r="G435" s="2" t="s">
        <v>12</v>
      </c>
      <c r="N435">
        <v>490</v>
      </c>
      <c r="O435" t="str">
        <v>PROYECTO</v>
      </c>
      <c r="P435" t="str">
        <v>CLIENTE-0010</v>
      </c>
      <c r="Q435" t="str">
        <v>MADRID</v>
      </c>
      <c r="R435" s="10">
        <v>750</v>
      </c>
      <c r="S435">
        <v>43491</v>
      </c>
      <c r="T435" t="str">
        <v>SI</v>
      </c>
      <c r="AN435">
        <v>433</v>
      </c>
      <c r="AO435" t="str">
        <v>PROGRAMA</v>
      </c>
      <c r="AP435" t="str">
        <v>CLIENTE-0006</v>
      </c>
      <c r="AQ435">
        <v>750</v>
      </c>
      <c r="AR435" t="str">
        <v>SI</v>
      </c>
    </row>
    <row r="436" spans="1:44">
      <c r="A436" s="2">
        <v>435</v>
      </c>
      <c r="B436" t="s">
        <v>22</v>
      </c>
      <c r="C436" t="s">
        <v>21</v>
      </c>
      <c r="D436" t="s">
        <v>9</v>
      </c>
      <c r="E436" s="3">
        <v>500</v>
      </c>
      <c r="F436" s="4">
        <v>44526</v>
      </c>
      <c r="G436" s="2" t="s">
        <v>12</v>
      </c>
      <c r="N436">
        <v>493</v>
      </c>
      <c r="O436" t="str">
        <v>FORMACION</v>
      </c>
      <c r="P436" t="str">
        <v>CLIENTE-0003</v>
      </c>
      <c r="Q436" t="str">
        <v>MADRID</v>
      </c>
      <c r="R436" s="10">
        <v>750</v>
      </c>
      <c r="S436">
        <v>43669</v>
      </c>
      <c r="T436" t="str">
        <v>SI</v>
      </c>
      <c r="AN436">
        <v>434</v>
      </c>
      <c r="AO436" t="str">
        <v>FORMACION</v>
      </c>
      <c r="AP436" t="str">
        <v>CLIENTE-0007</v>
      </c>
      <c r="AQ436">
        <v>4500</v>
      </c>
      <c r="AR436" t="str">
        <v>SI</v>
      </c>
    </row>
    <row r="437" spans="1:44">
      <c r="A437" s="2">
        <v>436</v>
      </c>
      <c r="B437" t="s">
        <v>10</v>
      </c>
      <c r="C437" t="s">
        <v>11</v>
      </c>
      <c r="D437" t="s">
        <v>9</v>
      </c>
      <c r="E437" s="3">
        <v>750</v>
      </c>
      <c r="F437" s="4">
        <v>44538</v>
      </c>
      <c r="G437" s="2" t="s">
        <v>12</v>
      </c>
      <c r="N437">
        <v>502</v>
      </c>
      <c r="O437" t="str">
        <v>DESARROLLO</v>
      </c>
      <c r="P437" t="str">
        <v>CLIENTE-0005</v>
      </c>
      <c r="Q437" t="str">
        <v>BARCELONA</v>
      </c>
      <c r="R437" s="10">
        <v>750</v>
      </c>
      <c r="S437">
        <v>44550</v>
      </c>
      <c r="T437" t="str">
        <v>SI</v>
      </c>
      <c r="AN437">
        <v>435</v>
      </c>
      <c r="AO437" t="str">
        <v>CONSULTORIA</v>
      </c>
      <c r="AP437" t="str">
        <v>CLIENTE-0003</v>
      </c>
      <c r="AQ437">
        <v>500</v>
      </c>
      <c r="AR437" t="str">
        <v>SI</v>
      </c>
    </row>
    <row r="438" spans="1:44">
      <c r="A438" s="2">
        <v>437</v>
      </c>
      <c r="B438" t="s">
        <v>13</v>
      </c>
      <c r="C438" t="s">
        <v>14</v>
      </c>
      <c r="D438" t="s">
        <v>15</v>
      </c>
      <c r="E438" s="3">
        <v>950</v>
      </c>
      <c r="F438" s="4">
        <v>43635</v>
      </c>
      <c r="G438" s="2" t="s">
        <v>28</v>
      </c>
      <c r="N438">
        <v>505</v>
      </c>
      <c r="O438" t="str">
        <v>PROGRAMA</v>
      </c>
      <c r="P438" t="str">
        <v>CLIENTE-0007</v>
      </c>
      <c r="Q438" t="str">
        <v>BARCELONA</v>
      </c>
      <c r="R438" s="10">
        <v>750</v>
      </c>
      <c r="S438">
        <v>44174</v>
      </c>
      <c r="T438" t="str">
        <v>NO</v>
      </c>
      <c r="AN438">
        <v>436</v>
      </c>
      <c r="AO438" t="str">
        <v>DESARROLLO</v>
      </c>
      <c r="AP438" t="str">
        <v>CLIENTE-0004</v>
      </c>
      <c r="AQ438">
        <v>750</v>
      </c>
      <c r="AR438" t="str">
        <v>SI</v>
      </c>
    </row>
    <row r="439" spans="1:44">
      <c r="A439" s="2">
        <v>438</v>
      </c>
      <c r="B439" t="s">
        <v>16</v>
      </c>
      <c r="C439" t="s">
        <v>14</v>
      </c>
      <c r="D439" t="s">
        <v>15</v>
      </c>
      <c r="E439" s="3">
        <v>680</v>
      </c>
      <c r="F439" s="4">
        <v>44287</v>
      </c>
      <c r="G439" s="2" t="s">
        <v>28</v>
      </c>
      <c r="N439">
        <v>525</v>
      </c>
      <c r="O439" t="str">
        <v>EQUIPOS</v>
      </c>
      <c r="P439" t="str">
        <v>CLIENTE-0003</v>
      </c>
      <c r="Q439" t="str">
        <v>MADRID</v>
      </c>
      <c r="R439" s="10">
        <v>750</v>
      </c>
      <c r="S439">
        <v>44058</v>
      </c>
      <c r="T439" t="str">
        <v>SI</v>
      </c>
      <c r="AN439">
        <v>437</v>
      </c>
      <c r="AO439" t="str">
        <v>PROYECTO</v>
      </c>
      <c r="AP439" t="str">
        <v>CLIENTE-0005</v>
      </c>
      <c r="AQ439">
        <v>950</v>
      </c>
      <c r="AR439" t="str">
        <v>NO</v>
      </c>
    </row>
    <row r="440" spans="1:44">
      <c r="A440" s="2">
        <v>439</v>
      </c>
      <c r="B440" t="s">
        <v>18</v>
      </c>
      <c r="C440" t="s">
        <v>17</v>
      </c>
      <c r="D440" t="s">
        <v>15</v>
      </c>
      <c r="E440" s="3">
        <v>950</v>
      </c>
      <c r="F440" s="4">
        <v>44543</v>
      </c>
      <c r="G440" s="2" t="s">
        <v>28</v>
      </c>
      <c r="N440">
        <v>528</v>
      </c>
      <c r="O440" t="str">
        <v>PROYECTO</v>
      </c>
      <c r="P440" t="str">
        <v>CLIENTE-0005</v>
      </c>
      <c r="Q440" t="str">
        <v>BARCELONA</v>
      </c>
      <c r="R440" s="10">
        <v>750</v>
      </c>
      <c r="S440">
        <v>44418</v>
      </c>
      <c r="T440" t="str">
        <v>SI</v>
      </c>
      <c r="AN440">
        <v>438</v>
      </c>
      <c r="AO440" t="str">
        <v>EQUIPOS</v>
      </c>
      <c r="AP440" t="str">
        <v>CLIENTE-0005</v>
      </c>
      <c r="AQ440">
        <v>680</v>
      </c>
      <c r="AR440" t="str">
        <v>NO</v>
      </c>
    </row>
    <row r="441" spans="1:44">
      <c r="A441" s="2">
        <v>440</v>
      </c>
      <c r="B441" t="s">
        <v>13</v>
      </c>
      <c r="C441" t="s">
        <v>19</v>
      </c>
      <c r="D441" t="s">
        <v>15</v>
      </c>
      <c r="E441" s="3">
        <v>1500</v>
      </c>
      <c r="F441" s="4">
        <v>44081</v>
      </c>
      <c r="G441" s="2" t="s">
        <v>28</v>
      </c>
      <c r="N441">
        <v>559</v>
      </c>
      <c r="O441" t="str">
        <v>EQUIPOS</v>
      </c>
      <c r="P441" t="str">
        <v>CLIENTE-0004</v>
      </c>
      <c r="Q441" t="str">
        <v>MADRID</v>
      </c>
      <c r="R441" s="10">
        <v>750</v>
      </c>
      <c r="S441">
        <v>44403</v>
      </c>
      <c r="T441" t="str">
        <v>SI</v>
      </c>
      <c r="AN441">
        <v>439</v>
      </c>
      <c r="AO441" t="str">
        <v>PROGRAMA</v>
      </c>
      <c r="AP441" t="str">
        <v>CLIENTE-0006</v>
      </c>
      <c r="AQ441">
        <v>950</v>
      </c>
      <c r="AR441" t="str">
        <v>NO</v>
      </c>
    </row>
    <row r="442" spans="1:44">
      <c r="A442" s="2">
        <v>441</v>
      </c>
      <c r="B442" t="s">
        <v>16</v>
      </c>
      <c r="C442" t="s">
        <v>23</v>
      </c>
      <c r="D442" t="s">
        <v>24</v>
      </c>
      <c r="E442" s="3">
        <v>5000</v>
      </c>
      <c r="F442" s="4">
        <v>43977</v>
      </c>
      <c r="G442" s="2" t="s">
        <v>28</v>
      </c>
      <c r="N442">
        <v>562</v>
      </c>
      <c r="O442" t="str">
        <v>PROYECTO</v>
      </c>
      <c r="P442" t="str">
        <v>CLIENTE-0007</v>
      </c>
      <c r="Q442" t="str">
        <v>BARCELONA</v>
      </c>
      <c r="R442" s="10">
        <v>750</v>
      </c>
      <c r="S442">
        <v>43701</v>
      </c>
      <c r="T442" t="str">
        <v>SI</v>
      </c>
      <c r="AN442">
        <v>440</v>
      </c>
      <c r="AO442" t="str">
        <v>PROYECTO</v>
      </c>
      <c r="AP442" t="str">
        <v>CLIENTE-0007</v>
      </c>
      <c r="AQ442">
        <v>1500</v>
      </c>
      <c r="AR442" t="str">
        <v>NO</v>
      </c>
    </row>
    <row r="443" spans="1:44">
      <c r="A443" s="2">
        <v>442</v>
      </c>
      <c r="B443" t="s">
        <v>18</v>
      </c>
      <c r="C443" t="s">
        <v>25</v>
      </c>
      <c r="D443" t="s">
        <v>24</v>
      </c>
      <c r="E443" s="3">
        <v>6500</v>
      </c>
      <c r="F443" s="4">
        <v>43570</v>
      </c>
      <c r="G443" s="2" t="s">
        <v>28</v>
      </c>
      <c r="N443">
        <v>571</v>
      </c>
      <c r="O443" t="str">
        <v>FORMACION</v>
      </c>
      <c r="P443" t="str">
        <v>CLIENTE-0008</v>
      </c>
      <c r="Q443" t="str">
        <v>ALICANTE</v>
      </c>
      <c r="R443" s="10">
        <v>750</v>
      </c>
      <c r="S443">
        <v>43547</v>
      </c>
      <c r="T443" t="str">
        <v>SI</v>
      </c>
      <c r="AN443">
        <v>441</v>
      </c>
      <c r="AO443" t="str">
        <v>EQUIPOS</v>
      </c>
      <c r="AP443" t="str">
        <v>CLIENTE-0008</v>
      </c>
      <c r="AQ443">
        <v>5000</v>
      </c>
      <c r="AR443" t="str">
        <v>NO</v>
      </c>
    </row>
    <row r="444" spans="1:44">
      <c r="A444" s="2">
        <v>443</v>
      </c>
      <c r="B444" t="s">
        <v>20</v>
      </c>
      <c r="C444" t="s">
        <v>26</v>
      </c>
      <c r="D444" t="s">
        <v>9</v>
      </c>
      <c r="E444" s="3">
        <v>8500</v>
      </c>
      <c r="F444" s="4">
        <v>44278</v>
      </c>
      <c r="G444" s="2" t="s">
        <v>28</v>
      </c>
      <c r="N444">
        <v>574</v>
      </c>
      <c r="O444" t="str">
        <v>PROYECTO</v>
      </c>
      <c r="P444" t="str">
        <v>CLIENTE-0001</v>
      </c>
      <c r="Q444" t="str">
        <v>MADRID</v>
      </c>
      <c r="R444" s="10">
        <v>750</v>
      </c>
      <c r="S444">
        <v>43521</v>
      </c>
      <c r="T444" t="str">
        <v>NO</v>
      </c>
      <c r="AN444">
        <v>442</v>
      </c>
      <c r="AO444" t="str">
        <v>PROGRAMA</v>
      </c>
      <c r="AP444" t="str">
        <v>CLIENTE-0009</v>
      </c>
      <c r="AQ444">
        <v>6500</v>
      </c>
      <c r="AR444" t="str">
        <v>NO</v>
      </c>
    </row>
    <row r="445" spans="1:44">
      <c r="A445" s="2">
        <v>444</v>
      </c>
      <c r="B445" t="s">
        <v>22</v>
      </c>
      <c r="C445" t="s">
        <v>27</v>
      </c>
      <c r="D445" t="s">
        <v>9</v>
      </c>
      <c r="E445" s="3">
        <v>1200</v>
      </c>
      <c r="F445" s="4">
        <v>44195</v>
      </c>
      <c r="G445" s="2" t="s">
        <v>12</v>
      </c>
      <c r="N445">
        <v>594</v>
      </c>
      <c r="O445" t="str">
        <v>EQUIPOS</v>
      </c>
      <c r="P445" t="str">
        <v>CLIENTE-0001</v>
      </c>
      <c r="Q445" t="str">
        <v>MADRID</v>
      </c>
      <c r="R445" s="10">
        <v>750</v>
      </c>
      <c r="S445">
        <v>44502</v>
      </c>
      <c r="T445" t="str">
        <v>SI</v>
      </c>
      <c r="AN445">
        <v>443</v>
      </c>
      <c r="AO445" t="str">
        <v>FORMACION</v>
      </c>
      <c r="AP445" t="str">
        <v>CLIENTE-0010</v>
      </c>
      <c r="AQ445">
        <v>8500</v>
      </c>
      <c r="AR445" t="str">
        <v>NO</v>
      </c>
    </row>
    <row r="446" spans="1:44">
      <c r="A446" s="2">
        <v>445</v>
      </c>
      <c r="B446" t="s">
        <v>10</v>
      </c>
      <c r="C446" t="s">
        <v>26</v>
      </c>
      <c r="D446" t="s">
        <v>9</v>
      </c>
      <c r="E446" s="3">
        <v>300</v>
      </c>
      <c r="F446" s="4">
        <v>43644</v>
      </c>
      <c r="G446" s="2" t="s">
        <v>12</v>
      </c>
      <c r="N446">
        <v>597</v>
      </c>
      <c r="O446" t="str">
        <v>PROYECTO</v>
      </c>
      <c r="P446" t="str">
        <v>CLIENTE-0002</v>
      </c>
      <c r="Q446" t="str">
        <v>ALICANTE</v>
      </c>
      <c r="R446" s="10">
        <v>750</v>
      </c>
      <c r="S446">
        <v>43734</v>
      </c>
      <c r="T446" t="str">
        <v>SI</v>
      </c>
      <c r="AN446">
        <v>444</v>
      </c>
      <c r="AO446" t="str">
        <v>CONSULTORIA</v>
      </c>
      <c r="AP446" t="str">
        <v>CLIENTE-0001</v>
      </c>
      <c r="AQ446">
        <v>1200</v>
      </c>
      <c r="AR446" t="str">
        <v>SI</v>
      </c>
    </row>
    <row r="447" spans="1:44">
      <c r="A447" s="2">
        <v>446</v>
      </c>
      <c r="B447" t="s">
        <v>13</v>
      </c>
      <c r="C447" t="s">
        <v>27</v>
      </c>
      <c r="D447" t="s">
        <v>9</v>
      </c>
      <c r="E447" s="3">
        <v>200</v>
      </c>
      <c r="F447" s="4">
        <v>44044</v>
      </c>
      <c r="G447" s="2" t="s">
        <v>12</v>
      </c>
      <c r="N447">
        <v>628</v>
      </c>
      <c r="O447" t="str">
        <v>PROYECTO</v>
      </c>
      <c r="P447" t="str">
        <v>CLIENTE-0008</v>
      </c>
      <c r="Q447" t="str">
        <v>ALICANTE</v>
      </c>
      <c r="R447" s="10">
        <v>750</v>
      </c>
      <c r="S447">
        <v>44060</v>
      </c>
      <c r="T447" t="str">
        <v>SI</v>
      </c>
      <c r="AN447">
        <v>445</v>
      </c>
      <c r="AO447" t="str">
        <v>DESARROLLO</v>
      </c>
      <c r="AP447" t="str">
        <v>CLIENTE-0010</v>
      </c>
      <c r="AQ447">
        <v>300</v>
      </c>
      <c r="AR447" t="str">
        <v>SI</v>
      </c>
    </row>
    <row r="448" spans="1:44">
      <c r="A448" s="2">
        <v>447</v>
      </c>
      <c r="B448" t="s">
        <v>16</v>
      </c>
      <c r="C448" t="s">
        <v>29</v>
      </c>
      <c r="D448" t="s">
        <v>24</v>
      </c>
      <c r="E448" s="3">
        <v>150</v>
      </c>
      <c r="F448" s="4">
        <v>44086</v>
      </c>
      <c r="G448" s="2" t="s">
        <v>12</v>
      </c>
      <c r="N448">
        <v>631</v>
      </c>
      <c r="O448" t="str">
        <v>FORMACION</v>
      </c>
      <c r="P448" t="str">
        <v>CLIENTE-0004</v>
      </c>
      <c r="Q448" t="str">
        <v>MADRID</v>
      </c>
      <c r="R448" s="10">
        <v>750</v>
      </c>
      <c r="S448">
        <v>44451</v>
      </c>
      <c r="T448" t="str">
        <v>SI</v>
      </c>
      <c r="AN448">
        <v>446</v>
      </c>
      <c r="AO448" t="str">
        <v>PROYECTO</v>
      </c>
      <c r="AP448" t="str">
        <v>CLIENTE-0001</v>
      </c>
      <c r="AQ448">
        <v>200</v>
      </c>
      <c r="AR448" t="str">
        <v>SI</v>
      </c>
    </row>
    <row r="449" spans="1:44">
      <c r="A449" s="2">
        <v>448</v>
      </c>
      <c r="B449" t="s">
        <v>22</v>
      </c>
      <c r="C449" t="s">
        <v>21</v>
      </c>
      <c r="D449" t="s">
        <v>9</v>
      </c>
      <c r="E449" s="3">
        <v>120</v>
      </c>
      <c r="F449" s="4">
        <v>44378</v>
      </c>
      <c r="G449" s="2" t="s">
        <v>12</v>
      </c>
      <c r="N449">
        <v>638</v>
      </c>
      <c r="O449" t="str">
        <v>CONSULTORIA</v>
      </c>
      <c r="P449" t="str">
        <v>CLIENTE-0010</v>
      </c>
      <c r="Q449" t="str">
        <v>MADRID</v>
      </c>
      <c r="R449" s="10">
        <v>750</v>
      </c>
      <c r="S449">
        <v>44370</v>
      </c>
      <c r="T449" t="str">
        <v>SI</v>
      </c>
      <c r="AN449">
        <v>447</v>
      </c>
      <c r="AO449" t="str">
        <v>EQUIPOS</v>
      </c>
      <c r="AP449" t="str">
        <v>CLIENTE-0002</v>
      </c>
      <c r="AQ449">
        <v>150</v>
      </c>
      <c r="AR449" t="str">
        <v>SI</v>
      </c>
    </row>
    <row r="450" spans="1:44">
      <c r="A450" s="2">
        <v>449</v>
      </c>
      <c r="B450" t="s">
        <v>10</v>
      </c>
      <c r="C450" t="s">
        <v>11</v>
      </c>
      <c r="D450" t="s">
        <v>9</v>
      </c>
      <c r="E450" s="3">
        <v>300</v>
      </c>
      <c r="F450" s="4">
        <v>44040</v>
      </c>
      <c r="G450" s="2" t="s">
        <v>12</v>
      </c>
      <c r="N450">
        <v>641</v>
      </c>
      <c r="O450" t="str">
        <v>EQUIPOS</v>
      </c>
      <c r="P450" t="str">
        <v>CLIENTE-0001</v>
      </c>
      <c r="Q450" t="str">
        <v>MADRID</v>
      </c>
      <c r="R450" s="10">
        <v>750</v>
      </c>
      <c r="S450">
        <v>44433</v>
      </c>
      <c r="T450" t="str">
        <v>SI</v>
      </c>
      <c r="AN450">
        <v>448</v>
      </c>
      <c r="AO450" t="str">
        <v>CONSULTORIA</v>
      </c>
      <c r="AP450" t="str">
        <v>CLIENTE-0003</v>
      </c>
      <c r="AQ450">
        <v>120</v>
      </c>
      <c r="AR450" t="str">
        <v>SI</v>
      </c>
    </row>
    <row r="451" spans="1:44">
      <c r="A451" s="2">
        <v>450</v>
      </c>
      <c r="B451" t="s">
        <v>13</v>
      </c>
      <c r="C451" t="s">
        <v>14</v>
      </c>
      <c r="D451" t="s">
        <v>15</v>
      </c>
      <c r="E451" s="3">
        <v>350</v>
      </c>
      <c r="F451" s="4">
        <v>44044</v>
      </c>
      <c r="G451" s="2" t="s">
        <v>12</v>
      </c>
      <c r="N451">
        <v>680</v>
      </c>
      <c r="O451" t="str">
        <v>EQUIPOS</v>
      </c>
      <c r="P451" t="str">
        <v>CLIENTE-0006</v>
      </c>
      <c r="Q451" t="str">
        <v>BARCELONA</v>
      </c>
      <c r="R451" s="10">
        <v>750</v>
      </c>
      <c r="S451">
        <v>43646</v>
      </c>
      <c r="T451" t="str">
        <v>SI</v>
      </c>
      <c r="AN451">
        <v>449</v>
      </c>
      <c r="AO451" t="str">
        <v>DESARROLLO</v>
      </c>
      <c r="AP451" t="str">
        <v>CLIENTE-0004</v>
      </c>
      <c r="AQ451">
        <v>300</v>
      </c>
      <c r="AR451" t="str">
        <v>SI</v>
      </c>
    </row>
    <row r="452" spans="1:44">
      <c r="A452" s="2">
        <v>451</v>
      </c>
      <c r="B452" t="s">
        <v>16</v>
      </c>
      <c r="C452" t="s">
        <v>17</v>
      </c>
      <c r="D452" t="s">
        <v>15</v>
      </c>
      <c r="E452" s="3">
        <v>300</v>
      </c>
      <c r="F452" s="4">
        <v>44450</v>
      </c>
      <c r="G452" s="2" t="s">
        <v>28</v>
      </c>
      <c r="N452">
        <v>683</v>
      </c>
      <c r="O452" t="str">
        <v>CONSULTORIA</v>
      </c>
      <c r="P452" t="str">
        <v>CLIENTE-0004</v>
      </c>
      <c r="Q452" t="str">
        <v>MADRID</v>
      </c>
      <c r="R452" s="10">
        <v>750</v>
      </c>
      <c r="S452">
        <v>44470</v>
      </c>
      <c r="T452" t="str">
        <v>SI</v>
      </c>
      <c r="AN452">
        <v>450</v>
      </c>
      <c r="AO452" t="str">
        <v>PROYECTO</v>
      </c>
      <c r="AP452" t="str">
        <v>CLIENTE-0005</v>
      </c>
      <c r="AQ452">
        <v>350</v>
      </c>
      <c r="AR452" t="str">
        <v>SI</v>
      </c>
    </row>
    <row r="453" spans="1:44">
      <c r="A453" s="2">
        <v>452</v>
      </c>
      <c r="B453" t="s">
        <v>18</v>
      </c>
      <c r="C453" t="s">
        <v>19</v>
      </c>
      <c r="D453" t="s">
        <v>15</v>
      </c>
      <c r="E453" s="3">
        <v>120</v>
      </c>
      <c r="F453" s="4">
        <v>43965</v>
      </c>
      <c r="G453" s="2" t="s">
        <v>28</v>
      </c>
      <c r="N453">
        <v>714</v>
      </c>
      <c r="O453" t="str">
        <v>EQUIPOS</v>
      </c>
      <c r="P453" t="str">
        <v>CLIENTE-0002</v>
      </c>
      <c r="Q453" t="str">
        <v>ALICANTE</v>
      </c>
      <c r="R453" s="10">
        <v>750</v>
      </c>
      <c r="S453">
        <v>44500</v>
      </c>
      <c r="T453" t="str">
        <v>NO</v>
      </c>
      <c r="AN453">
        <v>451</v>
      </c>
      <c r="AO453" t="str">
        <v>EQUIPOS</v>
      </c>
      <c r="AP453" t="str">
        <v>CLIENTE-0006</v>
      </c>
      <c r="AQ453">
        <v>300</v>
      </c>
      <c r="AR453" t="str">
        <v>NO</v>
      </c>
    </row>
    <row r="454" spans="1:44">
      <c r="A454" s="2">
        <v>453</v>
      </c>
      <c r="B454" t="s">
        <v>20</v>
      </c>
      <c r="C454" t="s">
        <v>23</v>
      </c>
      <c r="D454" t="s">
        <v>24</v>
      </c>
      <c r="E454" s="3">
        <v>150</v>
      </c>
      <c r="F454" s="4">
        <v>43865</v>
      </c>
      <c r="G454" s="2" t="s">
        <v>28</v>
      </c>
      <c r="N454">
        <v>717</v>
      </c>
      <c r="O454" t="str">
        <v>CONSULTORIA</v>
      </c>
      <c r="P454" t="str">
        <v>CLIENTE-0005</v>
      </c>
      <c r="Q454" t="str">
        <v>BARCELONA</v>
      </c>
      <c r="R454" s="10">
        <v>750</v>
      </c>
      <c r="S454">
        <v>44169</v>
      </c>
      <c r="T454" t="str">
        <v>NO</v>
      </c>
      <c r="AN454">
        <v>452</v>
      </c>
      <c r="AO454" t="str">
        <v>PROGRAMA</v>
      </c>
      <c r="AP454" t="str">
        <v>CLIENTE-0007</v>
      </c>
      <c r="AQ454">
        <v>120</v>
      </c>
      <c r="AR454" t="str">
        <v>NO</v>
      </c>
    </row>
    <row r="455" spans="1:44">
      <c r="A455" s="2">
        <v>454</v>
      </c>
      <c r="B455" t="s">
        <v>22</v>
      </c>
      <c r="C455" t="s">
        <v>25</v>
      </c>
      <c r="D455" t="s">
        <v>24</v>
      </c>
      <c r="E455" s="3">
        <v>1200</v>
      </c>
      <c r="F455" s="4">
        <v>44421</v>
      </c>
      <c r="G455" s="2" t="s">
        <v>28</v>
      </c>
      <c r="N455">
        <v>726</v>
      </c>
      <c r="O455" t="str">
        <v>EQUIPOS</v>
      </c>
      <c r="P455" t="str">
        <v>CLIENTE-0002</v>
      </c>
      <c r="Q455" t="str">
        <v>ALICANTE</v>
      </c>
      <c r="R455" s="10">
        <v>750</v>
      </c>
      <c r="S455">
        <v>44520</v>
      </c>
      <c r="T455" t="str">
        <v>SI</v>
      </c>
      <c r="AN455">
        <v>453</v>
      </c>
      <c r="AO455" t="str">
        <v>FORMACION</v>
      </c>
      <c r="AP455" t="str">
        <v>CLIENTE-0008</v>
      </c>
      <c r="AQ455">
        <v>150</v>
      </c>
      <c r="AR455" t="str">
        <v>NO</v>
      </c>
    </row>
    <row r="456" spans="1:44">
      <c r="A456" s="2">
        <v>455</v>
      </c>
      <c r="B456" t="s">
        <v>10</v>
      </c>
      <c r="C456" t="s">
        <v>26</v>
      </c>
      <c r="D456" t="s">
        <v>9</v>
      </c>
      <c r="E456" s="3">
        <v>800</v>
      </c>
      <c r="F456" s="4">
        <v>43605</v>
      </c>
      <c r="G456" s="2" t="s">
        <v>28</v>
      </c>
      <c r="N456">
        <v>729</v>
      </c>
      <c r="O456" t="str">
        <v>CONSULTORIA</v>
      </c>
      <c r="P456" t="str">
        <v>CLIENTE-0005</v>
      </c>
      <c r="Q456" t="str">
        <v>BARCELONA</v>
      </c>
      <c r="R456" s="10">
        <v>750</v>
      </c>
      <c r="S456">
        <v>43473</v>
      </c>
      <c r="T456" t="str">
        <v>SI</v>
      </c>
      <c r="AN456">
        <v>454</v>
      </c>
      <c r="AO456" t="str">
        <v>CONSULTORIA</v>
      </c>
      <c r="AP456" t="str">
        <v>CLIENTE-0009</v>
      </c>
      <c r="AQ456">
        <v>1200</v>
      </c>
      <c r="AR456" t="str">
        <v>NO</v>
      </c>
    </row>
    <row r="457" spans="1:44">
      <c r="A457" s="2">
        <v>456</v>
      </c>
      <c r="B457" t="s">
        <v>13</v>
      </c>
      <c r="C457" t="s">
        <v>11</v>
      </c>
      <c r="D457" t="s">
        <v>9</v>
      </c>
      <c r="E457" s="3">
        <v>750</v>
      </c>
      <c r="F457" s="4">
        <v>44275</v>
      </c>
      <c r="G457" s="2" t="s">
        <v>28</v>
      </c>
      <c r="N457">
        <v>745</v>
      </c>
      <c r="O457" t="str">
        <v>EQUIPOS</v>
      </c>
      <c r="P457" t="str">
        <v>CLIENTE-0005</v>
      </c>
      <c r="Q457" t="str">
        <v>BARCELONA</v>
      </c>
      <c r="R457" s="10">
        <v>750</v>
      </c>
      <c r="S457">
        <v>43731</v>
      </c>
      <c r="T457" t="str">
        <v>NO</v>
      </c>
      <c r="AN457">
        <v>455</v>
      </c>
      <c r="AO457" t="str">
        <v>DESARROLLO</v>
      </c>
      <c r="AP457" t="str">
        <v>CLIENTE-0010</v>
      </c>
      <c r="AQ457">
        <v>800</v>
      </c>
      <c r="AR457" t="str">
        <v>NO</v>
      </c>
    </row>
    <row r="458" spans="1:44">
      <c r="A458" s="2">
        <v>457</v>
      </c>
      <c r="B458" t="s">
        <v>16</v>
      </c>
      <c r="C458" t="s">
        <v>14</v>
      </c>
      <c r="D458" t="s">
        <v>15</v>
      </c>
      <c r="E458" s="3">
        <v>4500</v>
      </c>
      <c r="F458" s="4">
        <v>44298</v>
      </c>
      <c r="G458" s="2" t="s">
        <v>12</v>
      </c>
      <c r="N458">
        <v>748</v>
      </c>
      <c r="O458" t="str">
        <v>PROYECTO</v>
      </c>
      <c r="P458" t="str">
        <v>CLIENTE-0007</v>
      </c>
      <c r="Q458" t="str">
        <v>BARCELONA</v>
      </c>
      <c r="R458" s="10">
        <v>750</v>
      </c>
      <c r="S458">
        <v>44091</v>
      </c>
      <c r="T458" t="str">
        <v>SI</v>
      </c>
      <c r="AN458">
        <v>456</v>
      </c>
      <c r="AO458" t="str">
        <v>PROYECTO</v>
      </c>
      <c r="AP458" t="str">
        <v>CLIENTE-0004</v>
      </c>
      <c r="AQ458">
        <v>750</v>
      </c>
      <c r="AR458" t="str">
        <v>NO</v>
      </c>
    </row>
    <row r="459" spans="1:44">
      <c r="A459" s="2">
        <v>458</v>
      </c>
      <c r="B459" t="s">
        <v>18</v>
      </c>
      <c r="C459" t="s">
        <v>14</v>
      </c>
      <c r="D459" t="s">
        <v>15</v>
      </c>
      <c r="E459" s="3">
        <v>500</v>
      </c>
      <c r="F459" s="4">
        <v>43933</v>
      </c>
      <c r="G459" s="2" t="s">
        <v>12</v>
      </c>
      <c r="N459">
        <v>2</v>
      </c>
      <c r="O459" t="str">
        <v>PROYECTO</v>
      </c>
      <c r="P459" t="str">
        <v>CLIENTE-0005</v>
      </c>
      <c r="Q459" t="str">
        <v>BARCELONA</v>
      </c>
      <c r="R459" s="10">
        <v>800</v>
      </c>
      <c r="S459">
        <v>44349</v>
      </c>
      <c r="T459" t="str">
        <v>SI</v>
      </c>
      <c r="AN459">
        <v>457</v>
      </c>
      <c r="AO459" t="str">
        <v>EQUIPOS</v>
      </c>
      <c r="AP459" t="str">
        <v>CLIENTE-0005</v>
      </c>
      <c r="AQ459">
        <v>4500</v>
      </c>
      <c r="AR459" t="str">
        <v>SI</v>
      </c>
    </row>
    <row r="460" spans="1:44">
      <c r="A460" s="2">
        <v>459</v>
      </c>
      <c r="B460" t="s">
        <v>20</v>
      </c>
      <c r="C460" t="s">
        <v>17</v>
      </c>
      <c r="D460" t="s">
        <v>15</v>
      </c>
      <c r="E460" s="3">
        <v>750</v>
      </c>
      <c r="F460" s="4">
        <v>44388</v>
      </c>
      <c r="G460" s="2" t="s">
        <v>12</v>
      </c>
      <c r="N460">
        <v>25</v>
      </c>
      <c r="O460" t="str">
        <v>EQUIPOS</v>
      </c>
      <c r="P460" t="str">
        <v>CLIENTE-0010</v>
      </c>
      <c r="Q460" t="str">
        <v>MADRID</v>
      </c>
      <c r="R460" s="10">
        <v>800</v>
      </c>
      <c r="S460">
        <v>43552</v>
      </c>
      <c r="T460" t="str">
        <v>SI</v>
      </c>
      <c r="AN460">
        <v>458</v>
      </c>
      <c r="AO460" t="str">
        <v>PROGRAMA</v>
      </c>
      <c r="AP460" t="str">
        <v>CLIENTE-0005</v>
      </c>
      <c r="AQ460">
        <v>500</v>
      </c>
      <c r="AR460" t="str">
        <v>SI</v>
      </c>
    </row>
    <row r="461" spans="1:44">
      <c r="A461" s="2">
        <v>460</v>
      </c>
      <c r="B461" t="s">
        <v>22</v>
      </c>
      <c r="C461" t="s">
        <v>19</v>
      </c>
      <c r="D461" t="s">
        <v>15</v>
      </c>
      <c r="E461" s="3">
        <v>950</v>
      </c>
      <c r="F461" s="4">
        <v>43691</v>
      </c>
      <c r="G461" s="2" t="s">
        <v>12</v>
      </c>
      <c r="N461">
        <v>59</v>
      </c>
      <c r="O461" t="str">
        <v>CONSULTORIA</v>
      </c>
      <c r="P461" t="str">
        <v>CLIENTE-0001</v>
      </c>
      <c r="Q461" t="str">
        <v>MADRID</v>
      </c>
      <c r="R461" s="10">
        <v>800</v>
      </c>
      <c r="S461">
        <v>44056</v>
      </c>
      <c r="T461" t="str">
        <v>NO</v>
      </c>
      <c r="AN461">
        <v>459</v>
      </c>
      <c r="AO461" t="str">
        <v>FORMACION</v>
      </c>
      <c r="AP461" t="str">
        <v>CLIENTE-0006</v>
      </c>
      <c r="AQ461">
        <v>750</v>
      </c>
      <c r="AR461" t="str">
        <v>SI</v>
      </c>
    </row>
    <row r="462" spans="1:44">
      <c r="A462" s="2">
        <v>461</v>
      </c>
      <c r="B462" t="s">
        <v>10</v>
      </c>
      <c r="C462" t="s">
        <v>23</v>
      </c>
      <c r="D462" t="s">
        <v>24</v>
      </c>
      <c r="E462" s="3">
        <v>680</v>
      </c>
      <c r="F462" s="4">
        <v>44448</v>
      </c>
      <c r="G462" s="2" t="s">
        <v>12</v>
      </c>
      <c r="N462">
        <v>71</v>
      </c>
      <c r="O462" t="str">
        <v>PROYECTO</v>
      </c>
      <c r="P462" t="str">
        <v>CLIENTE-0004</v>
      </c>
      <c r="Q462" t="str">
        <v>MADRID</v>
      </c>
      <c r="R462" s="10">
        <v>800</v>
      </c>
      <c r="S462">
        <v>44280</v>
      </c>
      <c r="T462" t="str">
        <v>SI</v>
      </c>
      <c r="AN462">
        <v>460</v>
      </c>
      <c r="AO462" t="str">
        <v>CONSULTORIA</v>
      </c>
      <c r="AP462" t="str">
        <v>CLIENTE-0007</v>
      </c>
      <c r="AQ462">
        <v>950</v>
      </c>
      <c r="AR462" t="str">
        <v>SI</v>
      </c>
    </row>
    <row r="463" spans="1:44">
      <c r="A463" s="2">
        <v>462</v>
      </c>
      <c r="B463" t="s">
        <v>13</v>
      </c>
      <c r="C463" t="s">
        <v>25</v>
      </c>
      <c r="D463" t="s">
        <v>24</v>
      </c>
      <c r="E463" s="3">
        <v>950</v>
      </c>
      <c r="F463" s="4">
        <v>43581</v>
      </c>
      <c r="G463" s="2" t="s">
        <v>12</v>
      </c>
      <c r="N463">
        <v>94</v>
      </c>
      <c r="O463" t="str">
        <v>CONSULTORIA</v>
      </c>
      <c r="P463" t="str">
        <v>CLIENTE-0007</v>
      </c>
      <c r="Q463" t="str">
        <v>BARCELONA</v>
      </c>
      <c r="R463" s="10">
        <v>800</v>
      </c>
      <c r="S463">
        <v>44031</v>
      </c>
      <c r="T463" t="str">
        <v>SI</v>
      </c>
      <c r="AN463">
        <v>461</v>
      </c>
      <c r="AO463" t="str">
        <v>DESARROLLO</v>
      </c>
      <c r="AP463" t="str">
        <v>CLIENTE-0008</v>
      </c>
      <c r="AQ463">
        <v>680</v>
      </c>
      <c r="AR463" t="str">
        <v>SI</v>
      </c>
    </row>
    <row r="464" spans="1:44">
      <c r="A464" s="2">
        <v>463</v>
      </c>
      <c r="B464" t="s">
        <v>16</v>
      </c>
      <c r="C464" t="s">
        <v>26</v>
      </c>
      <c r="D464" t="s">
        <v>9</v>
      </c>
      <c r="E464" s="3">
        <v>1500</v>
      </c>
      <c r="F464" s="4">
        <v>44159</v>
      </c>
      <c r="G464" s="2" t="s">
        <v>12</v>
      </c>
      <c r="N464">
        <v>128</v>
      </c>
      <c r="O464" t="str">
        <v>FORMACION</v>
      </c>
      <c r="P464" t="str">
        <v>CLIENTE-0003</v>
      </c>
      <c r="Q464" t="str">
        <v>MADRID</v>
      </c>
      <c r="R464" s="10">
        <v>800</v>
      </c>
      <c r="S464">
        <v>44379</v>
      </c>
      <c r="T464" t="str">
        <v>SI</v>
      </c>
      <c r="AN464">
        <v>462</v>
      </c>
      <c r="AO464" t="str">
        <v>PROYECTO</v>
      </c>
      <c r="AP464" t="str">
        <v>CLIENTE-0009</v>
      </c>
      <c r="AQ464">
        <v>950</v>
      </c>
      <c r="AR464" t="str">
        <v>SI</v>
      </c>
    </row>
    <row r="465" spans="1:44">
      <c r="A465" s="2">
        <v>464</v>
      </c>
      <c r="B465" t="s">
        <v>18</v>
      </c>
      <c r="C465" t="s">
        <v>27</v>
      </c>
      <c r="D465" t="s">
        <v>9</v>
      </c>
      <c r="E465" s="3">
        <v>5000</v>
      </c>
      <c r="F465" s="4">
        <v>43913</v>
      </c>
      <c r="G465" s="2" t="s">
        <v>12</v>
      </c>
      <c r="N465">
        <v>140</v>
      </c>
      <c r="O465" t="str">
        <v>FORMACION</v>
      </c>
      <c r="P465" t="str">
        <v>CLIENTE-0003</v>
      </c>
      <c r="Q465" t="str">
        <v>MADRID</v>
      </c>
      <c r="R465" s="10">
        <v>800</v>
      </c>
      <c r="S465">
        <v>44199</v>
      </c>
      <c r="T465" t="str">
        <v>NO</v>
      </c>
      <c r="AN465">
        <v>463</v>
      </c>
      <c r="AO465" t="str">
        <v>EQUIPOS</v>
      </c>
      <c r="AP465" t="str">
        <v>CLIENTE-0010</v>
      </c>
      <c r="AQ465">
        <v>1500</v>
      </c>
      <c r="AR465" t="str">
        <v>SI</v>
      </c>
    </row>
    <row r="466" spans="1:44">
      <c r="A466" s="2">
        <v>465</v>
      </c>
      <c r="B466" t="s">
        <v>20</v>
      </c>
      <c r="C466" t="s">
        <v>26</v>
      </c>
      <c r="D466" t="s">
        <v>9</v>
      </c>
      <c r="E466" s="3">
        <v>6500</v>
      </c>
      <c r="F466" s="4">
        <v>44275</v>
      </c>
      <c r="G466" s="2" t="s">
        <v>12</v>
      </c>
      <c r="N466">
        <v>163</v>
      </c>
      <c r="O466" t="str">
        <v>CONSULTORIA</v>
      </c>
      <c r="P466" t="str">
        <v>CLIENTE-0005</v>
      </c>
      <c r="Q466" t="str">
        <v>BARCELONA</v>
      </c>
      <c r="R466" s="10">
        <v>800</v>
      </c>
      <c r="S466">
        <v>44076</v>
      </c>
      <c r="T466" t="str">
        <v>SI</v>
      </c>
      <c r="AN466">
        <v>464</v>
      </c>
      <c r="AO466" t="str">
        <v>PROGRAMA</v>
      </c>
      <c r="AP466" t="str">
        <v>CLIENTE-0001</v>
      </c>
      <c r="AQ466">
        <v>5000</v>
      </c>
      <c r="AR466" t="str">
        <v>SI</v>
      </c>
    </row>
    <row r="467" spans="1:44">
      <c r="A467" s="2">
        <v>466</v>
      </c>
      <c r="B467" t="s">
        <v>22</v>
      </c>
      <c r="C467" t="s">
        <v>27</v>
      </c>
      <c r="D467" t="s">
        <v>9</v>
      </c>
      <c r="E467" s="3">
        <v>8500</v>
      </c>
      <c r="F467" s="4">
        <v>43898</v>
      </c>
      <c r="G467" s="2" t="s">
        <v>12</v>
      </c>
      <c r="N467">
        <v>197</v>
      </c>
      <c r="O467" t="str">
        <v>FORMACION</v>
      </c>
      <c r="P467" t="str">
        <v>CLIENTE-0007</v>
      </c>
      <c r="Q467" t="str">
        <v>BARCELONA</v>
      </c>
      <c r="R467" s="10">
        <v>800</v>
      </c>
      <c r="S467">
        <v>43963</v>
      </c>
      <c r="T467" t="str">
        <v>SI</v>
      </c>
      <c r="AN467">
        <v>465</v>
      </c>
      <c r="AO467" t="str">
        <v>FORMACION</v>
      </c>
      <c r="AP467" t="str">
        <v>CLIENTE-0010</v>
      </c>
      <c r="AQ467">
        <v>6500</v>
      </c>
      <c r="AR467" t="str">
        <v>SI</v>
      </c>
    </row>
    <row r="468" spans="1:44">
      <c r="A468" s="2">
        <v>467</v>
      </c>
      <c r="B468" t="s">
        <v>10</v>
      </c>
      <c r="C468" t="s">
        <v>29</v>
      </c>
      <c r="D468" t="s">
        <v>24</v>
      </c>
      <c r="E468" s="3">
        <v>1200</v>
      </c>
      <c r="F468" s="4">
        <v>43964</v>
      </c>
      <c r="G468" s="2" t="s">
        <v>12</v>
      </c>
      <c r="N468">
        <v>209</v>
      </c>
      <c r="O468" t="str">
        <v>PROYECTO</v>
      </c>
      <c r="P468" t="str">
        <v>CLIENTE-0001</v>
      </c>
      <c r="Q468" t="str">
        <v>MADRID</v>
      </c>
      <c r="R468" s="10">
        <v>800</v>
      </c>
      <c r="S468">
        <v>43962</v>
      </c>
      <c r="T468" t="str">
        <v>NO</v>
      </c>
      <c r="AN468">
        <v>466</v>
      </c>
      <c r="AO468" t="str">
        <v>CONSULTORIA</v>
      </c>
      <c r="AP468" t="str">
        <v>CLIENTE-0001</v>
      </c>
      <c r="AQ468">
        <v>8500</v>
      </c>
      <c r="AR468" t="str">
        <v>SI</v>
      </c>
    </row>
    <row r="469" spans="1:44">
      <c r="A469" s="2">
        <v>468</v>
      </c>
      <c r="B469" t="s">
        <v>13</v>
      </c>
      <c r="C469" t="s">
        <v>21</v>
      </c>
      <c r="D469" t="s">
        <v>9</v>
      </c>
      <c r="E469" s="3">
        <v>300</v>
      </c>
      <c r="F469" s="4">
        <v>43675</v>
      </c>
      <c r="G469" s="2" t="s">
        <v>12</v>
      </c>
      <c r="N469">
        <v>232</v>
      </c>
      <c r="O469" t="str">
        <v>EQUIPOS</v>
      </c>
      <c r="P469" t="str">
        <v>CLIENTE-0009</v>
      </c>
      <c r="Q469" t="str">
        <v>ALICANTE</v>
      </c>
      <c r="R469" s="10">
        <v>800</v>
      </c>
      <c r="S469">
        <v>44052</v>
      </c>
      <c r="T469" t="str">
        <v>SI</v>
      </c>
      <c r="AN469">
        <v>467</v>
      </c>
      <c r="AO469" t="str">
        <v>DESARROLLO</v>
      </c>
      <c r="AP469" t="str">
        <v>CLIENTE-0002</v>
      </c>
      <c r="AQ469">
        <v>1200</v>
      </c>
      <c r="AR469" t="str">
        <v>SI</v>
      </c>
    </row>
    <row r="470" spans="1:44">
      <c r="A470" s="2">
        <v>469</v>
      </c>
      <c r="B470" t="s">
        <v>16</v>
      </c>
      <c r="C470" t="s">
        <v>11</v>
      </c>
      <c r="D470" t="s">
        <v>9</v>
      </c>
      <c r="E470" s="3">
        <v>200</v>
      </c>
      <c r="F470" s="4">
        <v>43824</v>
      </c>
      <c r="G470" s="2" t="s">
        <v>12</v>
      </c>
      <c r="N470">
        <v>266</v>
      </c>
      <c r="O470" t="str">
        <v>PROYECTO</v>
      </c>
      <c r="P470" t="str">
        <v>CLIENTE-0004</v>
      </c>
      <c r="Q470" t="str">
        <v>MADRID</v>
      </c>
      <c r="R470" s="10">
        <v>800</v>
      </c>
      <c r="S470">
        <v>43608</v>
      </c>
      <c r="T470" t="str">
        <v>SI</v>
      </c>
      <c r="AN470">
        <v>468</v>
      </c>
      <c r="AO470" t="str">
        <v>PROYECTO</v>
      </c>
      <c r="AP470" t="str">
        <v>CLIENTE-0003</v>
      </c>
      <c r="AQ470">
        <v>300</v>
      </c>
      <c r="AR470" t="str">
        <v>SI</v>
      </c>
    </row>
    <row r="471" spans="1:44">
      <c r="A471" s="2">
        <v>470</v>
      </c>
      <c r="B471" t="s">
        <v>18</v>
      </c>
      <c r="C471" t="s">
        <v>14</v>
      </c>
      <c r="D471" t="s">
        <v>15</v>
      </c>
      <c r="E471" s="3">
        <v>150</v>
      </c>
      <c r="F471" s="4">
        <v>43956</v>
      </c>
      <c r="G471" s="2" t="s">
        <v>12</v>
      </c>
      <c r="N471">
        <v>309</v>
      </c>
      <c r="O471" t="str">
        <v>PROGRAMA</v>
      </c>
      <c r="P471" t="str">
        <v>CLIENTE-0010</v>
      </c>
      <c r="Q471" t="str">
        <v>MADRID</v>
      </c>
      <c r="R471" s="10">
        <v>800</v>
      </c>
      <c r="S471">
        <v>43491</v>
      </c>
      <c r="T471" t="str">
        <v>NO</v>
      </c>
      <c r="AN471">
        <v>469</v>
      </c>
      <c r="AO471" t="str">
        <v>EQUIPOS</v>
      </c>
      <c r="AP471" t="str">
        <v>CLIENTE-0004</v>
      </c>
      <c r="AQ471">
        <v>200</v>
      </c>
      <c r="AR471" t="str">
        <v>SI</v>
      </c>
    </row>
    <row r="472" spans="1:44">
      <c r="A472" s="2">
        <v>471</v>
      </c>
      <c r="B472" t="s">
        <v>20</v>
      </c>
      <c r="C472" t="s">
        <v>17</v>
      </c>
      <c r="D472" t="s">
        <v>15</v>
      </c>
      <c r="E472" s="3">
        <v>120</v>
      </c>
      <c r="F472" s="4">
        <v>43572</v>
      </c>
      <c r="G472" s="2" t="s">
        <v>12</v>
      </c>
      <c r="N472">
        <v>321</v>
      </c>
      <c r="O472" t="str">
        <v>PROGRAMA</v>
      </c>
      <c r="P472" t="str">
        <v>CLIENTE-0005</v>
      </c>
      <c r="Q472" t="str">
        <v>BARCELONA</v>
      </c>
      <c r="R472" s="10">
        <v>800</v>
      </c>
      <c r="S472">
        <v>44440</v>
      </c>
      <c r="T472" t="str">
        <v>NO</v>
      </c>
      <c r="AN472">
        <v>470</v>
      </c>
      <c r="AO472" t="str">
        <v>PROGRAMA</v>
      </c>
      <c r="AP472" t="str">
        <v>CLIENTE-0005</v>
      </c>
      <c r="AQ472">
        <v>150</v>
      </c>
      <c r="AR472" t="str">
        <v>SI</v>
      </c>
    </row>
    <row r="473" spans="1:44">
      <c r="A473" s="2">
        <v>472</v>
      </c>
      <c r="B473" t="s">
        <v>22</v>
      </c>
      <c r="C473" t="s">
        <v>19</v>
      </c>
      <c r="D473" t="s">
        <v>15</v>
      </c>
      <c r="E473" s="3">
        <v>300</v>
      </c>
      <c r="F473" s="4">
        <v>43543</v>
      </c>
      <c r="G473" s="2" t="s">
        <v>12</v>
      </c>
      <c r="N473">
        <v>344</v>
      </c>
      <c r="O473" t="str">
        <v>FORMACION</v>
      </c>
      <c r="P473" t="str">
        <v>CLIENTE-0003</v>
      </c>
      <c r="Q473" t="str">
        <v>MADRID</v>
      </c>
      <c r="R473" s="10">
        <v>800</v>
      </c>
      <c r="S473">
        <v>43485</v>
      </c>
      <c r="T473" t="str">
        <v>SI</v>
      </c>
      <c r="AN473">
        <v>471</v>
      </c>
      <c r="AO473" t="str">
        <v>FORMACION</v>
      </c>
      <c r="AP473" t="str">
        <v>CLIENTE-0006</v>
      </c>
      <c r="AQ473">
        <v>120</v>
      </c>
      <c r="AR473" t="str">
        <v>SI</v>
      </c>
    </row>
    <row r="474" spans="1:44">
      <c r="A474" s="2">
        <v>473</v>
      </c>
      <c r="B474" t="s">
        <v>10</v>
      </c>
      <c r="C474" t="s">
        <v>23</v>
      </c>
      <c r="D474" t="s">
        <v>24</v>
      </c>
      <c r="E474" s="3">
        <v>350</v>
      </c>
      <c r="F474" s="4">
        <v>44424</v>
      </c>
      <c r="G474" s="2" t="s">
        <v>12</v>
      </c>
      <c r="N474">
        <v>386</v>
      </c>
      <c r="O474" t="str">
        <v>PROYECTO</v>
      </c>
      <c r="P474" t="str">
        <v>CLIENTE-0004</v>
      </c>
      <c r="Q474" t="str">
        <v>MADRID</v>
      </c>
      <c r="R474" s="10">
        <v>800</v>
      </c>
      <c r="S474">
        <v>43511</v>
      </c>
      <c r="T474" t="str">
        <v>SI</v>
      </c>
      <c r="AN474">
        <v>472</v>
      </c>
      <c r="AO474" t="str">
        <v>CONSULTORIA</v>
      </c>
      <c r="AP474" t="str">
        <v>CLIENTE-0007</v>
      </c>
      <c r="AQ474">
        <v>300</v>
      </c>
      <c r="AR474" t="str">
        <v>SI</v>
      </c>
    </row>
    <row r="475" spans="1:44">
      <c r="A475" s="2">
        <v>474</v>
      </c>
      <c r="B475" t="s">
        <v>13</v>
      </c>
      <c r="C475" t="s">
        <v>25</v>
      </c>
      <c r="D475" t="s">
        <v>24</v>
      </c>
      <c r="E475" s="3">
        <v>300</v>
      </c>
      <c r="F475" s="4">
        <v>44408</v>
      </c>
      <c r="G475" s="2" t="s">
        <v>12</v>
      </c>
      <c r="N475">
        <v>420</v>
      </c>
      <c r="O475" t="str">
        <v>DESARROLLO</v>
      </c>
      <c r="P475" t="str">
        <v>CLIENTE-0010</v>
      </c>
      <c r="Q475" t="str">
        <v>MADRID</v>
      </c>
      <c r="R475" s="10">
        <v>800</v>
      </c>
      <c r="S475">
        <v>44534</v>
      </c>
      <c r="T475" t="str">
        <v>SI</v>
      </c>
      <c r="AN475">
        <v>473</v>
      </c>
      <c r="AO475" t="str">
        <v>DESARROLLO</v>
      </c>
      <c r="AP475" t="str">
        <v>CLIENTE-0008</v>
      </c>
      <c r="AQ475">
        <v>350</v>
      </c>
      <c r="AR475" t="str">
        <v>SI</v>
      </c>
    </row>
    <row r="476" spans="1:44">
      <c r="A476" s="2">
        <v>475</v>
      </c>
      <c r="B476" t="s">
        <v>16</v>
      </c>
      <c r="C476" t="s">
        <v>26</v>
      </c>
      <c r="D476" t="s">
        <v>9</v>
      </c>
      <c r="E476" s="3">
        <v>120</v>
      </c>
      <c r="F476" s="4">
        <v>43612</v>
      </c>
      <c r="G476" s="2" t="s">
        <v>12</v>
      </c>
      <c r="N476">
        <v>432</v>
      </c>
      <c r="O476" t="str">
        <v>EQUIPOS</v>
      </c>
      <c r="P476" t="str">
        <v>CLIENTE-0005</v>
      </c>
      <c r="Q476" t="str">
        <v>BARCELONA</v>
      </c>
      <c r="R476" s="10">
        <v>800</v>
      </c>
      <c r="S476">
        <v>43722</v>
      </c>
      <c r="T476" t="str">
        <v>SI</v>
      </c>
      <c r="AN476">
        <v>474</v>
      </c>
      <c r="AO476" t="str">
        <v>PROYECTO</v>
      </c>
      <c r="AP476" t="str">
        <v>CLIENTE-0009</v>
      </c>
      <c r="AQ476">
        <v>300</v>
      </c>
      <c r="AR476" t="str">
        <v>SI</v>
      </c>
    </row>
    <row r="477" spans="1:44">
      <c r="A477" s="2">
        <v>476</v>
      </c>
      <c r="B477" t="s">
        <v>18</v>
      </c>
      <c r="C477" t="s">
        <v>11</v>
      </c>
      <c r="D477" t="s">
        <v>9</v>
      </c>
      <c r="E477" s="3">
        <v>150</v>
      </c>
      <c r="F477" s="4">
        <v>43691</v>
      </c>
      <c r="G477" s="2" t="s">
        <v>12</v>
      </c>
      <c r="N477">
        <v>455</v>
      </c>
      <c r="O477" t="str">
        <v>DESARROLLO</v>
      </c>
      <c r="P477" t="str">
        <v>CLIENTE-0010</v>
      </c>
      <c r="Q477" t="str">
        <v>MADRID</v>
      </c>
      <c r="R477" s="10">
        <v>800</v>
      </c>
      <c r="S477">
        <v>43605</v>
      </c>
      <c r="T477" t="str">
        <v>NO</v>
      </c>
      <c r="AN477">
        <v>475</v>
      </c>
      <c r="AO477" t="str">
        <v>EQUIPOS</v>
      </c>
      <c r="AP477" t="str">
        <v>CLIENTE-0010</v>
      </c>
      <c r="AQ477">
        <v>120</v>
      </c>
      <c r="AR477" t="str">
        <v>SI</v>
      </c>
    </row>
    <row r="478" spans="1:44">
      <c r="A478" s="2">
        <v>477</v>
      </c>
      <c r="B478" t="s">
        <v>20</v>
      </c>
      <c r="C478" t="s">
        <v>14</v>
      </c>
      <c r="D478" t="s">
        <v>15</v>
      </c>
      <c r="E478" s="3">
        <v>8500</v>
      </c>
      <c r="F478" s="4">
        <v>43641</v>
      </c>
      <c r="G478" s="2" t="s">
        <v>12</v>
      </c>
      <c r="N478">
        <v>489</v>
      </c>
      <c r="O478" t="str">
        <v>DESARROLLO</v>
      </c>
      <c r="P478" t="str">
        <v>CLIENTE-0001</v>
      </c>
      <c r="Q478" t="str">
        <v>MADRID</v>
      </c>
      <c r="R478" s="10">
        <v>800</v>
      </c>
      <c r="S478">
        <v>43669</v>
      </c>
      <c r="T478" t="str">
        <v>SI</v>
      </c>
      <c r="AN478">
        <v>476</v>
      </c>
      <c r="AO478" t="str">
        <v>PROGRAMA</v>
      </c>
      <c r="AP478" t="str">
        <v>CLIENTE-0004</v>
      </c>
      <c r="AQ478">
        <v>150</v>
      </c>
      <c r="AR478" t="str">
        <v>SI</v>
      </c>
    </row>
    <row r="479" spans="1:44">
      <c r="A479" s="2">
        <v>478</v>
      </c>
      <c r="B479" t="s">
        <v>22</v>
      </c>
      <c r="C479" t="s">
        <v>17</v>
      </c>
      <c r="D479" t="s">
        <v>15</v>
      </c>
      <c r="E479" s="3">
        <v>1200</v>
      </c>
      <c r="F479" s="4">
        <v>44131</v>
      </c>
      <c r="G479" s="2" t="s">
        <v>28</v>
      </c>
      <c r="N479">
        <v>501</v>
      </c>
      <c r="O479" t="str">
        <v>DESARROLLO</v>
      </c>
      <c r="P479" t="str">
        <v>CLIENTE-0004</v>
      </c>
      <c r="Q479" t="str">
        <v>MADRID</v>
      </c>
      <c r="R479" s="10">
        <v>800</v>
      </c>
      <c r="S479">
        <v>43717</v>
      </c>
      <c r="T479" t="str">
        <v>SI</v>
      </c>
      <c r="AN479">
        <v>477</v>
      </c>
      <c r="AO479" t="str">
        <v>FORMACION</v>
      </c>
      <c r="AP479" t="str">
        <v>CLIENTE-0005</v>
      </c>
      <c r="AQ479">
        <v>8500</v>
      </c>
      <c r="AR479" t="str">
        <v>SI</v>
      </c>
    </row>
    <row r="480" spans="1:44">
      <c r="A480" s="2">
        <v>479</v>
      </c>
      <c r="B480" t="s">
        <v>10</v>
      </c>
      <c r="C480" t="s">
        <v>19</v>
      </c>
      <c r="D480" t="s">
        <v>15</v>
      </c>
      <c r="E480" s="3">
        <v>300</v>
      </c>
      <c r="F480" s="4">
        <v>44036</v>
      </c>
      <c r="G480" s="2" t="s">
        <v>28</v>
      </c>
      <c r="N480">
        <v>524</v>
      </c>
      <c r="O480" t="str">
        <v>PROYECTO</v>
      </c>
      <c r="P480" t="str">
        <v>CLIENTE-0007</v>
      </c>
      <c r="Q480" t="str">
        <v>BARCELONA</v>
      </c>
      <c r="R480" s="10">
        <v>800</v>
      </c>
      <c r="S480">
        <v>43918</v>
      </c>
      <c r="T480" t="str">
        <v>SI</v>
      </c>
      <c r="AN480">
        <v>478</v>
      </c>
      <c r="AO480" t="str">
        <v>CONSULTORIA</v>
      </c>
      <c r="AP480" t="str">
        <v>CLIENTE-0006</v>
      </c>
      <c r="AQ480">
        <v>1200</v>
      </c>
      <c r="AR480" t="str">
        <v>NO</v>
      </c>
    </row>
    <row r="481" spans="1:44">
      <c r="A481" s="2">
        <v>480</v>
      </c>
      <c r="B481" t="s">
        <v>13</v>
      </c>
      <c r="C481" t="s">
        <v>21</v>
      </c>
      <c r="D481" t="s">
        <v>9</v>
      </c>
      <c r="E481" s="3">
        <v>200</v>
      </c>
      <c r="F481" s="4">
        <v>43931</v>
      </c>
      <c r="G481" s="2" t="s">
        <v>28</v>
      </c>
      <c r="N481">
        <v>558</v>
      </c>
      <c r="O481" t="str">
        <v>PROYECTO</v>
      </c>
      <c r="P481" t="str">
        <v>CLIENTE-0003</v>
      </c>
      <c r="Q481" t="str">
        <v>MADRID</v>
      </c>
      <c r="R481" s="10">
        <v>800</v>
      </c>
      <c r="S481">
        <v>43854</v>
      </c>
      <c r="T481" t="str">
        <v>SI</v>
      </c>
      <c r="AN481">
        <v>479</v>
      </c>
      <c r="AO481" t="str">
        <v>DESARROLLO</v>
      </c>
      <c r="AP481" t="str">
        <v>CLIENTE-0007</v>
      </c>
      <c r="AQ481">
        <v>300</v>
      </c>
      <c r="AR481" t="str">
        <v>NO</v>
      </c>
    </row>
    <row r="482" spans="1:44">
      <c r="A482" s="2">
        <v>481</v>
      </c>
      <c r="B482" t="s">
        <v>16</v>
      </c>
      <c r="C482" t="s">
        <v>11</v>
      </c>
      <c r="D482" t="s">
        <v>9</v>
      </c>
      <c r="E482" s="3">
        <v>150</v>
      </c>
      <c r="F482" s="4">
        <v>44012</v>
      </c>
      <c r="G482" s="2" t="s">
        <v>28</v>
      </c>
      <c r="N482">
        <v>570</v>
      </c>
      <c r="O482" t="str">
        <v>PROGRAMA</v>
      </c>
      <c r="P482" t="str">
        <v>CLIENTE-0007</v>
      </c>
      <c r="Q482" t="str">
        <v>BARCELONA</v>
      </c>
      <c r="R482" s="10">
        <v>800</v>
      </c>
      <c r="S482">
        <v>43849</v>
      </c>
      <c r="T482" t="str">
        <v>SI</v>
      </c>
      <c r="AN482">
        <v>480</v>
      </c>
      <c r="AO482" t="str">
        <v>PROYECTO</v>
      </c>
      <c r="AP482" t="str">
        <v>CLIENTE-0003</v>
      </c>
      <c r="AQ482">
        <v>200</v>
      </c>
      <c r="AR482" t="str">
        <v>NO</v>
      </c>
    </row>
    <row r="483" spans="1:44">
      <c r="A483" s="2">
        <v>482</v>
      </c>
      <c r="B483" t="s">
        <v>22</v>
      </c>
      <c r="C483" t="s">
        <v>14</v>
      </c>
      <c r="D483" t="s">
        <v>15</v>
      </c>
      <c r="E483" s="3">
        <v>120</v>
      </c>
      <c r="F483" s="4">
        <v>43654</v>
      </c>
      <c r="G483" s="2" t="s">
        <v>28</v>
      </c>
      <c r="N483">
        <v>593</v>
      </c>
      <c r="O483" t="str">
        <v>PROYECTO</v>
      </c>
      <c r="P483" t="str">
        <v>CLIENTE-0010</v>
      </c>
      <c r="Q483" t="str">
        <v>MADRID</v>
      </c>
      <c r="R483" s="10">
        <v>800</v>
      </c>
      <c r="S483">
        <v>43923</v>
      </c>
      <c r="T483" t="str">
        <v>SI</v>
      </c>
      <c r="AN483">
        <v>481</v>
      </c>
      <c r="AO483" t="str">
        <v>EQUIPOS</v>
      </c>
      <c r="AP483" t="str">
        <v>CLIENTE-0004</v>
      </c>
      <c r="AQ483">
        <v>150</v>
      </c>
      <c r="AR483" t="str">
        <v>NO</v>
      </c>
    </row>
    <row r="484" spans="1:44">
      <c r="A484" s="2">
        <v>483</v>
      </c>
      <c r="B484" t="s">
        <v>10</v>
      </c>
      <c r="C484" t="s">
        <v>14</v>
      </c>
      <c r="D484" t="s">
        <v>15</v>
      </c>
      <c r="E484" s="3">
        <v>300</v>
      </c>
      <c r="F484" s="4">
        <v>43599</v>
      </c>
      <c r="G484" s="2" t="s">
        <v>28</v>
      </c>
      <c r="N484">
        <v>627</v>
      </c>
      <c r="O484" t="str">
        <v>DESARROLLO</v>
      </c>
      <c r="P484" t="str">
        <v>CLIENTE-0007</v>
      </c>
      <c r="Q484" t="str">
        <v>BARCELONA</v>
      </c>
      <c r="R484" s="10">
        <v>800</v>
      </c>
      <c r="S484">
        <v>43473</v>
      </c>
      <c r="T484" t="str">
        <v>SI</v>
      </c>
      <c r="AN484">
        <v>482</v>
      </c>
      <c r="AO484" t="str">
        <v>CONSULTORIA</v>
      </c>
      <c r="AP484" t="str">
        <v>CLIENTE-0005</v>
      </c>
      <c r="AQ484">
        <v>120</v>
      </c>
      <c r="AR484" t="str">
        <v>NO</v>
      </c>
    </row>
    <row r="485" spans="1:44">
      <c r="A485" s="2">
        <v>484</v>
      </c>
      <c r="B485" t="s">
        <v>13</v>
      </c>
      <c r="C485" t="s">
        <v>17</v>
      </c>
      <c r="D485" t="s">
        <v>15</v>
      </c>
      <c r="E485" s="3">
        <v>350</v>
      </c>
      <c r="F485" s="4">
        <v>44173</v>
      </c>
      <c r="G485" s="2" t="s">
        <v>28</v>
      </c>
      <c r="N485">
        <v>637</v>
      </c>
      <c r="O485" t="str">
        <v>FORMACION</v>
      </c>
      <c r="P485" t="str">
        <v>CLIENTE-0009</v>
      </c>
      <c r="Q485" t="str">
        <v>ALICANTE</v>
      </c>
      <c r="R485" s="10">
        <v>800</v>
      </c>
      <c r="S485">
        <v>44146</v>
      </c>
      <c r="T485" t="str">
        <v>SI</v>
      </c>
      <c r="AN485">
        <v>483</v>
      </c>
      <c r="AO485" t="str">
        <v>DESARROLLO</v>
      </c>
      <c r="AP485" t="str">
        <v>CLIENTE-0005</v>
      </c>
      <c r="AQ485">
        <v>300</v>
      </c>
      <c r="AR485" t="str">
        <v>NO</v>
      </c>
    </row>
    <row r="486" spans="1:44">
      <c r="A486" s="2">
        <v>485</v>
      </c>
      <c r="B486" t="s">
        <v>16</v>
      </c>
      <c r="C486" t="s">
        <v>19</v>
      </c>
      <c r="D486" t="s">
        <v>15</v>
      </c>
      <c r="E486" s="3">
        <v>300</v>
      </c>
      <c r="F486" s="4">
        <v>43510</v>
      </c>
      <c r="G486" s="2" t="s">
        <v>12</v>
      </c>
      <c r="N486">
        <v>679</v>
      </c>
      <c r="O486" t="str">
        <v>PROYECTO</v>
      </c>
      <c r="P486" t="str">
        <v>CLIENTE-0005</v>
      </c>
      <c r="Q486" t="str">
        <v>BARCELONA</v>
      </c>
      <c r="R486" s="10">
        <v>800</v>
      </c>
      <c r="S486">
        <v>44067</v>
      </c>
      <c r="T486" t="str">
        <v>SI</v>
      </c>
      <c r="AN486">
        <v>484</v>
      </c>
      <c r="AO486" t="str">
        <v>PROYECTO</v>
      </c>
      <c r="AP486" t="str">
        <v>CLIENTE-0006</v>
      </c>
      <c r="AQ486">
        <v>350</v>
      </c>
      <c r="AR486" t="str">
        <v>NO</v>
      </c>
    </row>
    <row r="487" spans="1:44">
      <c r="A487" s="2">
        <v>486</v>
      </c>
      <c r="B487" t="s">
        <v>18</v>
      </c>
      <c r="C487" t="s">
        <v>23</v>
      </c>
      <c r="D487" t="s">
        <v>24</v>
      </c>
      <c r="E487" s="3">
        <v>120</v>
      </c>
      <c r="F487" s="4">
        <v>44483</v>
      </c>
      <c r="G487" s="2" t="s">
        <v>12</v>
      </c>
      <c r="N487">
        <v>713</v>
      </c>
      <c r="O487" t="str">
        <v>PROYECTO</v>
      </c>
      <c r="P487" t="str">
        <v>CLIENTE-0001</v>
      </c>
      <c r="Q487" t="str">
        <v>MADRID</v>
      </c>
      <c r="R487" s="10">
        <v>800</v>
      </c>
      <c r="S487">
        <v>44400</v>
      </c>
      <c r="T487" t="str">
        <v>NO</v>
      </c>
      <c r="AN487">
        <v>485</v>
      </c>
      <c r="AO487" t="str">
        <v>EQUIPOS</v>
      </c>
      <c r="AP487" t="str">
        <v>CLIENTE-0007</v>
      </c>
      <c r="AQ487">
        <v>300</v>
      </c>
      <c r="AR487" t="str">
        <v>SI</v>
      </c>
    </row>
    <row r="488" spans="1:44">
      <c r="A488" s="2">
        <v>487</v>
      </c>
      <c r="B488" t="s">
        <v>20</v>
      </c>
      <c r="C488" t="s">
        <v>25</v>
      </c>
      <c r="D488" t="s">
        <v>24</v>
      </c>
      <c r="E488" s="3">
        <v>150</v>
      </c>
      <c r="F488" s="4">
        <v>43785</v>
      </c>
      <c r="G488" s="2" t="s">
        <v>12</v>
      </c>
      <c r="N488">
        <v>725</v>
      </c>
      <c r="O488" t="str">
        <v>PROYECTO</v>
      </c>
      <c r="P488" t="str">
        <v>CLIENTE-0001</v>
      </c>
      <c r="Q488" t="str">
        <v>MADRID</v>
      </c>
      <c r="R488" s="10">
        <v>800</v>
      </c>
      <c r="S488">
        <v>43618</v>
      </c>
      <c r="T488" t="str">
        <v>SI</v>
      </c>
      <c r="AN488">
        <v>486</v>
      </c>
      <c r="AO488" t="str">
        <v>PROGRAMA</v>
      </c>
      <c r="AP488" t="str">
        <v>CLIENTE-0008</v>
      </c>
      <c r="AQ488">
        <v>120</v>
      </c>
      <c r="AR488" t="str">
        <v>SI</v>
      </c>
    </row>
    <row r="489" spans="1:44">
      <c r="A489" s="2">
        <v>488</v>
      </c>
      <c r="B489" t="s">
        <v>22</v>
      </c>
      <c r="C489" t="s">
        <v>26</v>
      </c>
      <c r="D489" t="s">
        <v>9</v>
      </c>
      <c r="E489" s="3">
        <v>1200</v>
      </c>
      <c r="F489" s="4">
        <v>44345</v>
      </c>
      <c r="G489" s="2" t="s">
        <v>12</v>
      </c>
      <c r="N489">
        <v>744</v>
      </c>
      <c r="O489" t="str">
        <v>PROYECTO</v>
      </c>
      <c r="P489" t="str">
        <v>CLIENTE-0004</v>
      </c>
      <c r="Q489" t="str">
        <v>MADRID</v>
      </c>
      <c r="R489" s="10">
        <v>800</v>
      </c>
      <c r="S489">
        <v>43725</v>
      </c>
      <c r="T489" t="str">
        <v>NO</v>
      </c>
      <c r="AN489">
        <v>487</v>
      </c>
      <c r="AO489" t="str">
        <v>FORMACION</v>
      </c>
      <c r="AP489" t="str">
        <v>CLIENTE-0009</v>
      </c>
      <c r="AQ489">
        <v>150</v>
      </c>
      <c r="AR489" t="str">
        <v>SI</v>
      </c>
    </row>
    <row r="490" spans="1:44">
      <c r="A490" s="2">
        <v>489</v>
      </c>
      <c r="B490" t="s">
        <v>10</v>
      </c>
      <c r="C490" t="s">
        <v>27</v>
      </c>
      <c r="D490" t="s">
        <v>9</v>
      </c>
      <c r="E490" s="3">
        <v>800</v>
      </c>
      <c r="F490" s="4">
        <v>43669</v>
      </c>
      <c r="G490" s="2" t="s">
        <v>12</v>
      </c>
      <c r="N490">
        <v>778</v>
      </c>
      <c r="O490" t="str">
        <v>DESARROLLO</v>
      </c>
      <c r="P490" t="str">
        <v>CLIENTE-0005</v>
      </c>
      <c r="Q490" t="str">
        <v>BARCELONA</v>
      </c>
      <c r="R490" s="10">
        <v>800</v>
      </c>
      <c r="S490">
        <v>44266</v>
      </c>
      <c r="T490" t="str">
        <v>SI</v>
      </c>
      <c r="AN490">
        <v>488</v>
      </c>
      <c r="AO490" t="str">
        <v>CONSULTORIA</v>
      </c>
      <c r="AP490" t="str">
        <v>CLIENTE-0010</v>
      </c>
      <c r="AQ490">
        <v>1200</v>
      </c>
      <c r="AR490" t="str">
        <v>SI</v>
      </c>
    </row>
    <row r="491" spans="1:44">
      <c r="A491" s="2">
        <v>490</v>
      </c>
      <c r="B491" t="s">
        <v>13</v>
      </c>
      <c r="C491" t="s">
        <v>26</v>
      </c>
      <c r="D491" t="s">
        <v>9</v>
      </c>
      <c r="E491" s="3">
        <v>750</v>
      </c>
      <c r="F491" s="4">
        <v>43491</v>
      </c>
      <c r="G491" s="2" t="s">
        <v>12</v>
      </c>
      <c r="N491">
        <v>7</v>
      </c>
      <c r="O491" t="str">
        <v>DESARROLLO</v>
      </c>
      <c r="P491" t="str">
        <v>CLIENTE-0005</v>
      </c>
      <c r="Q491" t="str">
        <v>BARCELONA</v>
      </c>
      <c r="R491" s="10">
        <v>950</v>
      </c>
      <c r="S491">
        <v>43544</v>
      </c>
      <c r="T491" t="str">
        <v>SI</v>
      </c>
      <c r="AN491">
        <v>489</v>
      </c>
      <c r="AO491" t="str">
        <v>DESARROLLO</v>
      </c>
      <c r="AP491" t="str">
        <v>CLIENTE-0001</v>
      </c>
      <c r="AQ491">
        <v>800</v>
      </c>
      <c r="AR491" t="str">
        <v>SI</v>
      </c>
    </row>
    <row r="492" spans="1:44">
      <c r="A492" s="2">
        <v>491</v>
      </c>
      <c r="B492" t="s">
        <v>16</v>
      </c>
      <c r="C492" t="s">
        <v>27</v>
      </c>
      <c r="D492" t="s">
        <v>9</v>
      </c>
      <c r="E492" s="3">
        <v>4500</v>
      </c>
      <c r="F492" s="4">
        <v>43756</v>
      </c>
      <c r="G492" s="2" t="s">
        <v>12</v>
      </c>
      <c r="N492">
        <v>9</v>
      </c>
      <c r="O492" t="str">
        <v>EQUIPOS</v>
      </c>
      <c r="P492" t="str">
        <v>CLIENTE-0006</v>
      </c>
      <c r="Q492" t="str">
        <v>BARCELONA</v>
      </c>
      <c r="R492" s="10">
        <v>950</v>
      </c>
      <c r="S492">
        <v>44554</v>
      </c>
      <c r="T492" t="str">
        <v>SI</v>
      </c>
      <c r="AN492">
        <v>490</v>
      </c>
      <c r="AO492" t="str">
        <v>PROYECTO</v>
      </c>
      <c r="AP492" t="str">
        <v>CLIENTE-0010</v>
      </c>
      <c r="AQ492">
        <v>750</v>
      </c>
      <c r="AR492" t="str">
        <v>SI</v>
      </c>
    </row>
    <row r="493" spans="1:44">
      <c r="A493" s="2">
        <v>492</v>
      </c>
      <c r="B493" t="s">
        <v>18</v>
      </c>
      <c r="C493" t="s">
        <v>29</v>
      </c>
      <c r="D493" t="s">
        <v>24</v>
      </c>
      <c r="E493" s="3">
        <v>500</v>
      </c>
      <c r="F493" s="4">
        <v>43585</v>
      </c>
      <c r="G493" s="2" t="s">
        <v>12</v>
      </c>
      <c r="N493">
        <v>30</v>
      </c>
      <c r="O493" t="str">
        <v>FORMACION</v>
      </c>
      <c r="P493" t="str">
        <v>CLIENTE-0007</v>
      </c>
      <c r="Q493" t="str">
        <v>BARCELONA</v>
      </c>
      <c r="R493" s="10">
        <v>950</v>
      </c>
      <c r="S493">
        <v>44381</v>
      </c>
      <c r="T493" t="str">
        <v>SI</v>
      </c>
      <c r="AN493">
        <v>491</v>
      </c>
      <c r="AO493" t="str">
        <v>EQUIPOS</v>
      </c>
      <c r="AP493" t="str">
        <v>CLIENTE-0001</v>
      </c>
      <c r="AQ493">
        <v>4500</v>
      </c>
      <c r="AR493" t="str">
        <v>SI</v>
      </c>
    </row>
    <row r="494" spans="1:44">
      <c r="A494" s="2">
        <v>493</v>
      </c>
      <c r="B494" t="s">
        <v>20</v>
      </c>
      <c r="C494" t="s">
        <v>21</v>
      </c>
      <c r="D494" t="s">
        <v>9</v>
      </c>
      <c r="E494" s="3">
        <v>750</v>
      </c>
      <c r="F494" s="4">
        <v>43669</v>
      </c>
      <c r="G494" s="2" t="s">
        <v>12</v>
      </c>
      <c r="N494">
        <v>32</v>
      </c>
      <c r="O494" t="str">
        <v>DESARROLLO</v>
      </c>
      <c r="P494" t="str">
        <v>CLIENTE-0009</v>
      </c>
      <c r="Q494" t="str">
        <v>ALICANTE</v>
      </c>
      <c r="R494" s="10">
        <v>950</v>
      </c>
      <c r="S494">
        <v>43606</v>
      </c>
      <c r="T494" t="str">
        <v>SI</v>
      </c>
      <c r="AN494">
        <v>492</v>
      </c>
      <c r="AO494" t="str">
        <v>PROGRAMA</v>
      </c>
      <c r="AP494" t="str">
        <v>CLIENTE-0002</v>
      </c>
      <c r="AQ494">
        <v>500</v>
      </c>
      <c r="AR494" t="str">
        <v>SI</v>
      </c>
    </row>
    <row r="495" spans="1:44">
      <c r="A495" s="2">
        <v>494</v>
      </c>
      <c r="B495" t="s">
        <v>22</v>
      </c>
      <c r="C495" t="s">
        <v>11</v>
      </c>
      <c r="D495" t="s">
        <v>9</v>
      </c>
      <c r="E495" s="3">
        <v>950</v>
      </c>
      <c r="F495" s="4">
        <v>44158</v>
      </c>
      <c r="G495" s="2" t="s">
        <v>12</v>
      </c>
      <c r="N495">
        <v>64</v>
      </c>
      <c r="O495" t="str">
        <v>FORMACION</v>
      </c>
      <c r="P495" t="str">
        <v>CLIENTE-0004</v>
      </c>
      <c r="Q495" t="str">
        <v>MADRID</v>
      </c>
      <c r="R495" s="10">
        <v>950</v>
      </c>
      <c r="S495">
        <v>43634</v>
      </c>
      <c r="T495" t="str">
        <v>SI</v>
      </c>
      <c r="AN495">
        <v>493</v>
      </c>
      <c r="AO495" t="str">
        <v>FORMACION</v>
      </c>
      <c r="AP495" t="str">
        <v>CLIENTE-0003</v>
      </c>
      <c r="AQ495">
        <v>750</v>
      </c>
      <c r="AR495" t="str">
        <v>SI</v>
      </c>
    </row>
    <row r="496" spans="1:44">
      <c r="A496" s="2">
        <v>495</v>
      </c>
      <c r="B496" t="s">
        <v>10</v>
      </c>
      <c r="C496" t="s">
        <v>14</v>
      </c>
      <c r="D496" t="s">
        <v>15</v>
      </c>
      <c r="E496" s="3">
        <v>680</v>
      </c>
      <c r="F496" s="4">
        <v>44416</v>
      </c>
      <c r="G496" s="2" t="s">
        <v>12</v>
      </c>
      <c r="N496">
        <v>66</v>
      </c>
      <c r="O496" t="str">
        <v>DESARROLLO</v>
      </c>
      <c r="P496" t="str">
        <v>CLIENTE-0006</v>
      </c>
      <c r="Q496" t="str">
        <v>BARCELONA</v>
      </c>
      <c r="R496" s="10">
        <v>950</v>
      </c>
      <c r="S496">
        <v>44269</v>
      </c>
      <c r="T496" t="str">
        <v>SI</v>
      </c>
      <c r="AN496">
        <v>494</v>
      </c>
      <c r="AO496" t="str">
        <v>CONSULTORIA</v>
      </c>
      <c r="AP496" t="str">
        <v>CLIENTE-0004</v>
      </c>
      <c r="AQ496">
        <v>950</v>
      </c>
      <c r="AR496" t="str">
        <v>SI</v>
      </c>
    </row>
    <row r="497" spans="1:44">
      <c r="A497" s="2">
        <v>496</v>
      </c>
      <c r="B497" t="s">
        <v>13</v>
      </c>
      <c r="C497" t="s">
        <v>17</v>
      </c>
      <c r="D497" t="s">
        <v>15</v>
      </c>
      <c r="E497" s="3">
        <v>950</v>
      </c>
      <c r="F497" s="4">
        <v>44255</v>
      </c>
      <c r="G497" s="2" t="s">
        <v>12</v>
      </c>
      <c r="N497">
        <v>76</v>
      </c>
      <c r="O497" t="str">
        <v>DESARROLLO</v>
      </c>
      <c r="P497" t="str">
        <v>CLIENTE-0008</v>
      </c>
      <c r="Q497" t="str">
        <v>ALICANTE</v>
      </c>
      <c r="R497" s="10">
        <v>950</v>
      </c>
      <c r="S497">
        <v>44101</v>
      </c>
      <c r="T497" t="str">
        <v>SI</v>
      </c>
      <c r="AN497">
        <v>495</v>
      </c>
      <c r="AO497" t="str">
        <v>DESARROLLO</v>
      </c>
      <c r="AP497" t="str">
        <v>CLIENTE-0005</v>
      </c>
      <c r="AQ497">
        <v>680</v>
      </c>
      <c r="AR497" t="str">
        <v>SI</v>
      </c>
    </row>
    <row r="498" spans="1:44">
      <c r="A498" s="2">
        <v>497</v>
      </c>
      <c r="B498" t="s">
        <v>16</v>
      </c>
      <c r="C498" t="s">
        <v>19</v>
      </c>
      <c r="D498" t="s">
        <v>15</v>
      </c>
      <c r="E498" s="3">
        <v>1500</v>
      </c>
      <c r="F498" s="4">
        <v>44545</v>
      </c>
      <c r="G498" s="2" t="s">
        <v>12</v>
      </c>
      <c r="N498">
        <v>78</v>
      </c>
      <c r="O498" t="str">
        <v>EQUIPOS</v>
      </c>
      <c r="P498" t="str">
        <v>CLIENTE-0010</v>
      </c>
      <c r="Q498" t="str">
        <v>MADRID</v>
      </c>
      <c r="R498" s="10">
        <v>950</v>
      </c>
      <c r="S498">
        <v>43796</v>
      </c>
      <c r="T498" t="str">
        <v>SI</v>
      </c>
      <c r="AN498">
        <v>496</v>
      </c>
      <c r="AO498" t="str">
        <v>PROYECTO</v>
      </c>
      <c r="AP498" t="str">
        <v>CLIENTE-0006</v>
      </c>
      <c r="AQ498">
        <v>950</v>
      </c>
      <c r="AR498" t="str">
        <v>SI</v>
      </c>
    </row>
    <row r="499" spans="1:44">
      <c r="A499" s="2">
        <v>498</v>
      </c>
      <c r="B499" t="s">
        <v>18</v>
      </c>
      <c r="C499" t="s">
        <v>23</v>
      </c>
      <c r="D499" t="s">
        <v>24</v>
      </c>
      <c r="E499" s="3">
        <v>5000</v>
      </c>
      <c r="F499" s="4">
        <v>43663</v>
      </c>
      <c r="G499" s="2" t="s">
        <v>12</v>
      </c>
      <c r="N499">
        <v>99</v>
      </c>
      <c r="O499" t="str">
        <v>FORMACION</v>
      </c>
      <c r="P499" t="str">
        <v>CLIENTE-0006</v>
      </c>
      <c r="Q499" t="str">
        <v>BARCELONA</v>
      </c>
      <c r="R499" s="10">
        <v>950</v>
      </c>
      <c r="S499">
        <v>44305</v>
      </c>
      <c r="T499" t="str">
        <v>SI</v>
      </c>
      <c r="AN499">
        <v>497</v>
      </c>
      <c r="AO499" t="str">
        <v>EQUIPOS</v>
      </c>
      <c r="AP499" t="str">
        <v>CLIENTE-0007</v>
      </c>
      <c r="AQ499">
        <v>1500</v>
      </c>
      <c r="AR499" t="str">
        <v>SI</v>
      </c>
    </row>
    <row r="500" spans="1:44">
      <c r="A500" s="2">
        <v>499</v>
      </c>
      <c r="B500" t="s">
        <v>20</v>
      </c>
      <c r="C500" t="s">
        <v>25</v>
      </c>
      <c r="D500" t="s">
        <v>24</v>
      </c>
      <c r="E500" s="3">
        <v>6500</v>
      </c>
      <c r="F500" s="4">
        <v>43891</v>
      </c>
      <c r="G500" s="2" t="s">
        <v>12</v>
      </c>
      <c r="N500">
        <v>101</v>
      </c>
      <c r="O500" t="str">
        <v>DESARROLLO</v>
      </c>
      <c r="P500" t="str">
        <v>CLIENTE-0008</v>
      </c>
      <c r="Q500" t="str">
        <v>ALICANTE</v>
      </c>
      <c r="R500" s="10">
        <v>950</v>
      </c>
      <c r="S500">
        <v>43910</v>
      </c>
      <c r="T500" t="str">
        <v>SI</v>
      </c>
      <c r="AN500">
        <v>498</v>
      </c>
      <c r="AO500" t="str">
        <v>PROGRAMA</v>
      </c>
      <c r="AP500" t="str">
        <v>CLIENTE-0008</v>
      </c>
      <c r="AQ500">
        <v>5000</v>
      </c>
      <c r="AR500" t="str">
        <v>SI</v>
      </c>
    </row>
    <row r="501" spans="1:44">
      <c r="A501" s="2">
        <v>500</v>
      </c>
      <c r="B501" t="s">
        <v>22</v>
      </c>
      <c r="C501" t="s">
        <v>26</v>
      </c>
      <c r="D501" t="s">
        <v>9</v>
      </c>
      <c r="E501" s="3">
        <v>1200</v>
      </c>
      <c r="F501" s="4">
        <v>44361</v>
      </c>
      <c r="G501" s="2" t="s">
        <v>12</v>
      </c>
      <c r="N501">
        <v>133</v>
      </c>
      <c r="O501" t="str">
        <v>PROGRAMA</v>
      </c>
      <c r="P501" t="str">
        <v>CLIENTE-0008</v>
      </c>
      <c r="Q501" t="str">
        <v>ALICANTE</v>
      </c>
      <c r="R501" s="10">
        <v>950</v>
      </c>
      <c r="S501">
        <v>44255</v>
      </c>
      <c r="T501" t="str">
        <v>SI</v>
      </c>
      <c r="AN501">
        <v>499</v>
      </c>
      <c r="AO501" t="str">
        <v>FORMACION</v>
      </c>
      <c r="AP501" t="str">
        <v>CLIENTE-0009</v>
      </c>
      <c r="AQ501">
        <v>6500</v>
      </c>
      <c r="AR501" t="str">
        <v>SI</v>
      </c>
    </row>
    <row r="502" spans="1:44">
      <c r="A502" s="2">
        <v>501</v>
      </c>
      <c r="B502" t="s">
        <v>10</v>
      </c>
      <c r="C502" t="s">
        <v>11</v>
      </c>
      <c r="D502" t="s">
        <v>9</v>
      </c>
      <c r="E502" s="3">
        <v>800</v>
      </c>
      <c r="F502" s="4">
        <v>43717</v>
      </c>
      <c r="G502" s="2" t="s">
        <v>12</v>
      </c>
      <c r="N502">
        <v>135</v>
      </c>
      <c r="O502" t="str">
        <v>CONSULTORIA</v>
      </c>
      <c r="P502" t="str">
        <v>CLIENTE-0010</v>
      </c>
      <c r="Q502" t="str">
        <v>MADRID</v>
      </c>
      <c r="R502" s="10">
        <v>950</v>
      </c>
      <c r="S502">
        <v>44331</v>
      </c>
      <c r="T502" t="str">
        <v>SI</v>
      </c>
      <c r="AN502">
        <v>500</v>
      </c>
      <c r="AO502" t="str">
        <v>CONSULTORIA</v>
      </c>
      <c r="AP502" t="str">
        <v>CLIENTE-0010</v>
      </c>
      <c r="AQ502">
        <v>1200</v>
      </c>
      <c r="AR502" t="str">
        <v>SI</v>
      </c>
    </row>
    <row r="503" spans="1:44">
      <c r="A503" s="2">
        <v>502</v>
      </c>
      <c r="B503" t="s">
        <v>10</v>
      </c>
      <c r="C503" t="s">
        <v>14</v>
      </c>
      <c r="D503" t="s">
        <v>15</v>
      </c>
      <c r="E503" s="3">
        <v>750</v>
      </c>
      <c r="F503" s="4">
        <v>44550</v>
      </c>
      <c r="G503" s="2" t="s">
        <v>12</v>
      </c>
      <c r="N503">
        <v>145</v>
      </c>
      <c r="O503" t="str">
        <v>PROGRAMA</v>
      </c>
      <c r="P503" t="str">
        <v>CLIENTE-0007</v>
      </c>
      <c r="Q503" t="str">
        <v>BARCELONA</v>
      </c>
      <c r="R503" s="10">
        <v>950</v>
      </c>
      <c r="S503">
        <v>44317</v>
      </c>
      <c r="T503" t="str">
        <v>NO</v>
      </c>
      <c r="AN503">
        <v>501</v>
      </c>
      <c r="AO503" t="str">
        <v>DESARROLLO</v>
      </c>
      <c r="AP503" t="str">
        <v>CLIENTE-0004</v>
      </c>
      <c r="AQ503">
        <v>800</v>
      </c>
      <c r="AR503" t="str">
        <v>SI</v>
      </c>
    </row>
    <row r="504" spans="1:44">
      <c r="A504" s="2">
        <v>503</v>
      </c>
      <c r="B504" t="s">
        <v>13</v>
      </c>
      <c r="C504" t="s">
        <v>14</v>
      </c>
      <c r="D504" t="s">
        <v>15</v>
      </c>
      <c r="E504" s="3">
        <v>4500</v>
      </c>
      <c r="F504" s="4">
        <v>44182</v>
      </c>
      <c r="G504" s="2" t="s">
        <v>12</v>
      </c>
      <c r="N504">
        <v>147</v>
      </c>
      <c r="O504" t="str">
        <v>CONSULTORIA</v>
      </c>
      <c r="P504" t="str">
        <v>CLIENTE-0009</v>
      </c>
      <c r="Q504" t="str">
        <v>ALICANTE</v>
      </c>
      <c r="R504" s="10">
        <v>950</v>
      </c>
      <c r="S504">
        <v>43820</v>
      </c>
      <c r="T504" t="str">
        <v>SI</v>
      </c>
      <c r="AN504">
        <v>502</v>
      </c>
      <c r="AO504" t="str">
        <v>DESARROLLO</v>
      </c>
      <c r="AP504" t="str">
        <v>CLIENTE-0005</v>
      </c>
      <c r="AQ504">
        <v>750</v>
      </c>
      <c r="AR504" t="str">
        <v>SI</v>
      </c>
    </row>
    <row r="505" spans="1:44">
      <c r="A505" s="2">
        <v>504</v>
      </c>
      <c r="B505" t="s">
        <v>16</v>
      </c>
      <c r="C505" t="s">
        <v>17</v>
      </c>
      <c r="D505" t="s">
        <v>15</v>
      </c>
      <c r="E505" s="3">
        <v>500</v>
      </c>
      <c r="F505" s="4">
        <v>43752</v>
      </c>
      <c r="G505" s="2" t="s">
        <v>12</v>
      </c>
      <c r="N505">
        <v>168</v>
      </c>
      <c r="O505" t="str">
        <v>FORMACION</v>
      </c>
      <c r="P505" t="str">
        <v>CLIENTE-0010</v>
      </c>
      <c r="Q505" t="str">
        <v>MADRID</v>
      </c>
      <c r="R505" s="10">
        <v>950</v>
      </c>
      <c r="S505">
        <v>43632</v>
      </c>
      <c r="T505" t="str">
        <v>SI</v>
      </c>
      <c r="AN505">
        <v>503</v>
      </c>
      <c r="AO505" t="str">
        <v>PROYECTO</v>
      </c>
      <c r="AP505" t="str">
        <v>CLIENTE-0005</v>
      </c>
      <c r="AQ505">
        <v>4500</v>
      </c>
      <c r="AR505" t="str">
        <v>SI</v>
      </c>
    </row>
    <row r="506" spans="1:44">
      <c r="A506" s="2">
        <v>505</v>
      </c>
      <c r="B506" t="s">
        <v>18</v>
      </c>
      <c r="C506" t="s">
        <v>19</v>
      </c>
      <c r="D506" t="s">
        <v>15</v>
      </c>
      <c r="E506" s="3">
        <v>750</v>
      </c>
      <c r="F506" s="4">
        <v>44174</v>
      </c>
      <c r="G506" s="2" t="s">
        <v>28</v>
      </c>
      <c r="N506">
        <v>170</v>
      </c>
      <c r="O506" t="str">
        <v>DESARROLLO</v>
      </c>
      <c r="P506" t="str">
        <v>CLIENTE-0010</v>
      </c>
      <c r="Q506" t="str">
        <v>MADRID</v>
      </c>
      <c r="R506" s="10">
        <v>950</v>
      </c>
      <c r="S506">
        <v>43662</v>
      </c>
      <c r="T506" t="str">
        <v>SI</v>
      </c>
      <c r="AN506">
        <v>504</v>
      </c>
      <c r="AO506" t="str">
        <v>EQUIPOS</v>
      </c>
      <c r="AP506" t="str">
        <v>CLIENTE-0006</v>
      </c>
      <c r="AQ506">
        <v>500</v>
      </c>
      <c r="AR506" t="str">
        <v>SI</v>
      </c>
    </row>
    <row r="507" spans="1:44">
      <c r="A507" s="2">
        <v>506</v>
      </c>
      <c r="B507" t="s">
        <v>20</v>
      </c>
      <c r="C507" t="s">
        <v>23</v>
      </c>
      <c r="D507" t="s">
        <v>24</v>
      </c>
      <c r="E507" s="3">
        <v>950</v>
      </c>
      <c r="F507" s="4">
        <v>44317</v>
      </c>
      <c r="G507" s="2" t="s">
        <v>28</v>
      </c>
      <c r="N507">
        <v>202</v>
      </c>
      <c r="O507" t="str">
        <v>PROGRAMA</v>
      </c>
      <c r="P507" t="str">
        <v>CLIENTE-0005</v>
      </c>
      <c r="Q507" t="str">
        <v>BARCELONA</v>
      </c>
      <c r="R507" s="10">
        <v>950</v>
      </c>
      <c r="S507">
        <v>44201</v>
      </c>
      <c r="T507" t="str">
        <v>SI</v>
      </c>
      <c r="AN507">
        <v>505</v>
      </c>
      <c r="AO507" t="str">
        <v>PROGRAMA</v>
      </c>
      <c r="AP507" t="str">
        <v>CLIENTE-0007</v>
      </c>
      <c r="AQ507">
        <v>750</v>
      </c>
      <c r="AR507" t="str">
        <v>NO</v>
      </c>
    </row>
    <row r="508" spans="1:44">
      <c r="A508" s="2">
        <v>507</v>
      </c>
      <c r="B508" t="s">
        <v>22</v>
      </c>
      <c r="C508" t="s">
        <v>25</v>
      </c>
      <c r="D508" t="s">
        <v>24</v>
      </c>
      <c r="E508" s="3">
        <v>680</v>
      </c>
      <c r="F508" s="4">
        <v>44544</v>
      </c>
      <c r="G508" s="2" t="s">
        <v>28</v>
      </c>
      <c r="N508">
        <v>204</v>
      </c>
      <c r="O508" t="str">
        <v>EQUIPOS</v>
      </c>
      <c r="P508" t="str">
        <v>CLIENTE-0006</v>
      </c>
      <c r="Q508" t="str">
        <v>BARCELONA</v>
      </c>
      <c r="R508" s="10">
        <v>950</v>
      </c>
      <c r="S508">
        <v>43741</v>
      </c>
      <c r="T508" t="str">
        <v>SI</v>
      </c>
      <c r="AN508">
        <v>506</v>
      </c>
      <c r="AO508" t="str">
        <v>FORMACION</v>
      </c>
      <c r="AP508" t="str">
        <v>CLIENTE-0008</v>
      </c>
      <c r="AQ508">
        <v>950</v>
      </c>
      <c r="AR508" t="str">
        <v>NO</v>
      </c>
    </row>
    <row r="509" spans="1:44">
      <c r="A509" s="2">
        <v>508</v>
      </c>
      <c r="B509" t="s">
        <v>10</v>
      </c>
      <c r="C509" t="s">
        <v>26</v>
      </c>
      <c r="D509" t="s">
        <v>9</v>
      </c>
      <c r="E509" s="3">
        <v>950</v>
      </c>
      <c r="F509" s="4">
        <v>43716</v>
      </c>
      <c r="G509" s="2" t="s">
        <v>28</v>
      </c>
      <c r="N509">
        <v>214</v>
      </c>
      <c r="O509" t="str">
        <v>EQUIPOS</v>
      </c>
      <c r="P509" t="str">
        <v>CLIENTE-0004</v>
      </c>
      <c r="Q509" t="str">
        <v>MADRID</v>
      </c>
      <c r="R509" s="10">
        <v>950</v>
      </c>
      <c r="S509">
        <v>44121</v>
      </c>
      <c r="T509" t="str">
        <v>NO</v>
      </c>
      <c r="AN509">
        <v>507</v>
      </c>
      <c r="AO509" t="str">
        <v>CONSULTORIA</v>
      </c>
      <c r="AP509" t="str">
        <v>CLIENTE-0009</v>
      </c>
      <c r="AQ509">
        <v>680</v>
      </c>
      <c r="AR509" t="str">
        <v>NO</v>
      </c>
    </row>
    <row r="510" spans="1:44">
      <c r="A510" s="2">
        <v>509</v>
      </c>
      <c r="B510" t="s">
        <v>13</v>
      </c>
      <c r="C510" t="s">
        <v>27</v>
      </c>
      <c r="D510" t="s">
        <v>9</v>
      </c>
      <c r="E510" s="3">
        <v>1500</v>
      </c>
      <c r="F510" s="4">
        <v>43626</v>
      </c>
      <c r="G510" s="2" t="s">
        <v>28</v>
      </c>
      <c r="N510">
        <v>216</v>
      </c>
      <c r="O510" t="str">
        <v>FORMACION</v>
      </c>
      <c r="P510" t="str">
        <v>CLIENTE-0006</v>
      </c>
      <c r="Q510" t="str">
        <v>BARCELONA</v>
      </c>
      <c r="R510" s="10">
        <v>950</v>
      </c>
      <c r="S510">
        <v>44006</v>
      </c>
      <c r="T510" t="str">
        <v>SI</v>
      </c>
      <c r="AN510">
        <v>508</v>
      </c>
      <c r="AO510" t="str">
        <v>DESARROLLO</v>
      </c>
      <c r="AP510" t="str">
        <v>CLIENTE-0010</v>
      </c>
      <c r="AQ510">
        <v>950</v>
      </c>
      <c r="AR510" t="str">
        <v>NO</v>
      </c>
    </row>
    <row r="511" spans="1:44">
      <c r="A511" s="2">
        <v>510</v>
      </c>
      <c r="B511" t="s">
        <v>16</v>
      </c>
      <c r="C511" t="s">
        <v>26</v>
      </c>
      <c r="D511" t="s">
        <v>9</v>
      </c>
      <c r="E511" s="3">
        <v>5000</v>
      </c>
      <c r="F511" s="4">
        <v>43606</v>
      </c>
      <c r="G511" s="2" t="s">
        <v>28</v>
      </c>
      <c r="N511">
        <v>237</v>
      </c>
      <c r="O511" t="str">
        <v>PROYECTO</v>
      </c>
      <c r="P511" t="str">
        <v>CLIENTE-0002</v>
      </c>
      <c r="Q511" t="str">
        <v>ALICANTE</v>
      </c>
      <c r="R511" s="10">
        <v>950</v>
      </c>
      <c r="S511">
        <v>43467</v>
      </c>
      <c r="T511" t="str">
        <v>SI</v>
      </c>
      <c r="AN511">
        <v>509</v>
      </c>
      <c r="AO511" t="str">
        <v>PROYECTO</v>
      </c>
      <c r="AP511" t="str">
        <v>CLIENTE-0001</v>
      </c>
      <c r="AQ511">
        <v>1500</v>
      </c>
      <c r="AR511" t="str">
        <v>NO</v>
      </c>
    </row>
    <row r="512" spans="1:44">
      <c r="A512" s="2">
        <v>511</v>
      </c>
      <c r="B512" t="s">
        <v>18</v>
      </c>
      <c r="C512" t="s">
        <v>27</v>
      </c>
      <c r="D512" t="s">
        <v>9</v>
      </c>
      <c r="E512" s="3">
        <v>6500</v>
      </c>
      <c r="F512" s="4">
        <v>44185</v>
      </c>
      <c r="G512" s="2" t="s">
        <v>28</v>
      </c>
      <c r="N512">
        <v>239</v>
      </c>
      <c r="O512" t="str">
        <v>PROGRAMA</v>
      </c>
      <c r="P512" t="str">
        <v>CLIENTE-0004</v>
      </c>
      <c r="Q512" t="str">
        <v>MADRID</v>
      </c>
      <c r="R512" s="10">
        <v>950</v>
      </c>
      <c r="S512">
        <v>43517</v>
      </c>
      <c r="T512" t="str">
        <v>SI</v>
      </c>
      <c r="AN512">
        <v>510</v>
      </c>
      <c r="AO512" t="str">
        <v>EQUIPOS</v>
      </c>
      <c r="AP512" t="str">
        <v>CLIENTE-0010</v>
      </c>
      <c r="AQ512">
        <v>5000</v>
      </c>
      <c r="AR512" t="str">
        <v>NO</v>
      </c>
    </row>
    <row r="513" spans="1:44">
      <c r="A513" s="2">
        <v>512</v>
      </c>
      <c r="B513" t="s">
        <v>20</v>
      </c>
      <c r="C513" t="s">
        <v>29</v>
      </c>
      <c r="D513" t="s">
        <v>24</v>
      </c>
      <c r="E513" s="3">
        <v>8500</v>
      </c>
      <c r="F513" s="4">
        <v>44265</v>
      </c>
      <c r="G513" s="2" t="s">
        <v>12</v>
      </c>
      <c r="N513">
        <v>271</v>
      </c>
      <c r="O513" t="str">
        <v>DESARROLLO</v>
      </c>
      <c r="P513" t="str">
        <v>CLIENTE-0002</v>
      </c>
      <c r="Q513" t="str">
        <v>ALICANTE</v>
      </c>
      <c r="R513" s="10">
        <v>950</v>
      </c>
      <c r="S513">
        <v>44519</v>
      </c>
      <c r="T513" t="str">
        <v>SI</v>
      </c>
      <c r="AN513">
        <v>511</v>
      </c>
      <c r="AO513" t="str">
        <v>PROGRAMA</v>
      </c>
      <c r="AP513" t="str">
        <v>CLIENTE-0001</v>
      </c>
      <c r="AQ513">
        <v>6500</v>
      </c>
      <c r="AR513" t="str">
        <v>NO</v>
      </c>
    </row>
    <row r="514" spans="1:44">
      <c r="A514" s="2">
        <v>513</v>
      </c>
      <c r="B514" t="s">
        <v>22</v>
      </c>
      <c r="C514" t="s">
        <v>21</v>
      </c>
      <c r="D514" t="s">
        <v>9</v>
      </c>
      <c r="E514" s="3">
        <v>1200</v>
      </c>
      <c r="F514" s="4">
        <v>43503</v>
      </c>
      <c r="G514" s="2" t="s">
        <v>12</v>
      </c>
      <c r="N514">
        <v>273</v>
      </c>
      <c r="O514" t="str">
        <v>EQUIPOS</v>
      </c>
      <c r="P514" t="str">
        <v>CLIENTE-0004</v>
      </c>
      <c r="Q514" t="str">
        <v>MADRID</v>
      </c>
      <c r="R514" s="10">
        <v>950</v>
      </c>
      <c r="S514">
        <v>43728</v>
      </c>
      <c r="T514" t="str">
        <v>SI</v>
      </c>
      <c r="AN514">
        <v>512</v>
      </c>
      <c r="AO514" t="str">
        <v>FORMACION</v>
      </c>
      <c r="AP514" t="str">
        <v>CLIENTE-0002</v>
      </c>
      <c r="AQ514">
        <v>8500</v>
      </c>
      <c r="AR514" t="str">
        <v>SI</v>
      </c>
    </row>
    <row r="515" spans="1:44">
      <c r="A515" s="2">
        <v>514</v>
      </c>
      <c r="B515" t="s">
        <v>10</v>
      </c>
      <c r="C515" t="s">
        <v>11</v>
      </c>
      <c r="D515" t="s">
        <v>9</v>
      </c>
      <c r="E515" s="3">
        <v>300</v>
      </c>
      <c r="F515" s="4">
        <v>44382</v>
      </c>
      <c r="G515" s="2" t="s">
        <v>12</v>
      </c>
      <c r="N515">
        <v>280</v>
      </c>
      <c r="O515" t="str">
        <v>CONSULTORIA</v>
      </c>
      <c r="P515" t="str">
        <v>CLIENTE-0004</v>
      </c>
      <c r="Q515" t="str">
        <v>MADRID</v>
      </c>
      <c r="R515" s="10">
        <v>950</v>
      </c>
      <c r="S515">
        <v>44317</v>
      </c>
      <c r="T515" t="str">
        <v>NO</v>
      </c>
      <c r="AN515">
        <v>513</v>
      </c>
      <c r="AO515" t="str">
        <v>CONSULTORIA</v>
      </c>
      <c r="AP515" t="str">
        <v>CLIENTE-0003</v>
      </c>
      <c r="AQ515">
        <v>1200</v>
      </c>
      <c r="AR515" t="str">
        <v>SI</v>
      </c>
    </row>
    <row r="516" spans="1:44">
      <c r="A516" s="2">
        <v>515</v>
      </c>
      <c r="B516" t="s">
        <v>13</v>
      </c>
      <c r="C516" t="s">
        <v>14</v>
      </c>
      <c r="D516" t="s">
        <v>15</v>
      </c>
      <c r="E516" s="3">
        <v>200</v>
      </c>
      <c r="F516" s="4">
        <v>44222</v>
      </c>
      <c r="G516" s="2" t="s">
        <v>12</v>
      </c>
      <c r="N516">
        <v>282</v>
      </c>
      <c r="O516" t="str">
        <v>PROYECTO</v>
      </c>
      <c r="P516" t="str">
        <v>CLIENTE-0005</v>
      </c>
      <c r="Q516" t="str">
        <v>BARCELONA</v>
      </c>
      <c r="R516" s="10">
        <v>950</v>
      </c>
      <c r="S516">
        <v>44108</v>
      </c>
      <c r="T516" t="str">
        <v>NO</v>
      </c>
      <c r="AN516">
        <v>514</v>
      </c>
      <c r="AO516" t="str">
        <v>DESARROLLO</v>
      </c>
      <c r="AP516" t="str">
        <v>CLIENTE-0004</v>
      </c>
      <c r="AQ516">
        <v>300</v>
      </c>
      <c r="AR516" t="str">
        <v>SI</v>
      </c>
    </row>
    <row r="517" spans="1:44">
      <c r="A517" s="2">
        <v>516</v>
      </c>
      <c r="B517" t="s">
        <v>16</v>
      </c>
      <c r="C517" t="s">
        <v>17</v>
      </c>
      <c r="D517" t="s">
        <v>15</v>
      </c>
      <c r="E517" s="3">
        <v>150</v>
      </c>
      <c r="F517" s="4">
        <v>44145</v>
      </c>
      <c r="G517" s="2" t="s">
        <v>12</v>
      </c>
      <c r="N517">
        <v>314</v>
      </c>
      <c r="O517" t="str">
        <v>EQUIPOS</v>
      </c>
      <c r="P517" t="str">
        <v>CLIENTE-0005</v>
      </c>
      <c r="Q517" t="str">
        <v>BARCELONA</v>
      </c>
      <c r="R517" s="10">
        <v>950</v>
      </c>
      <c r="S517">
        <v>43761</v>
      </c>
      <c r="T517" t="str">
        <v>SI</v>
      </c>
      <c r="AN517">
        <v>515</v>
      </c>
      <c r="AO517" t="str">
        <v>PROYECTO</v>
      </c>
      <c r="AP517" t="str">
        <v>CLIENTE-0005</v>
      </c>
      <c r="AQ517">
        <v>200</v>
      </c>
      <c r="AR517" t="str">
        <v>SI</v>
      </c>
    </row>
    <row r="518" spans="1:44">
      <c r="A518" s="2">
        <v>517</v>
      </c>
      <c r="B518" t="s">
        <v>18</v>
      </c>
      <c r="C518" t="s">
        <v>19</v>
      </c>
      <c r="D518" t="s">
        <v>15</v>
      </c>
      <c r="E518" s="3">
        <v>120</v>
      </c>
      <c r="F518" s="4">
        <v>44427</v>
      </c>
      <c r="G518" s="2" t="s">
        <v>12</v>
      </c>
      <c r="N518">
        <v>316</v>
      </c>
      <c r="O518" t="str">
        <v>FORMACION</v>
      </c>
      <c r="P518" t="str">
        <v>CLIENTE-0007</v>
      </c>
      <c r="Q518" t="str">
        <v>BARCELONA</v>
      </c>
      <c r="R518" s="10">
        <v>950</v>
      </c>
      <c r="S518">
        <v>43559</v>
      </c>
      <c r="T518" t="str">
        <v>SI</v>
      </c>
      <c r="AN518">
        <v>516</v>
      </c>
      <c r="AO518" t="str">
        <v>EQUIPOS</v>
      </c>
      <c r="AP518" t="str">
        <v>CLIENTE-0006</v>
      </c>
      <c r="AQ518">
        <v>150</v>
      </c>
      <c r="AR518" t="str">
        <v>SI</v>
      </c>
    </row>
    <row r="519" spans="1:44">
      <c r="A519" s="2">
        <v>518</v>
      </c>
      <c r="B519" t="s">
        <v>13</v>
      </c>
      <c r="C519" t="s">
        <v>23</v>
      </c>
      <c r="D519" t="s">
        <v>24</v>
      </c>
      <c r="E519" s="3">
        <v>300</v>
      </c>
      <c r="F519" s="4">
        <v>44332</v>
      </c>
      <c r="G519" s="2" t="s">
        <v>12</v>
      </c>
      <c r="N519">
        <v>326</v>
      </c>
      <c r="O519" t="str">
        <v>EQUIPOS</v>
      </c>
      <c r="P519" t="str">
        <v>CLIENTE-0009</v>
      </c>
      <c r="Q519" t="str">
        <v>ALICANTE</v>
      </c>
      <c r="R519" s="10">
        <v>950</v>
      </c>
      <c r="S519">
        <v>43611</v>
      </c>
      <c r="T519" t="str">
        <v>SI</v>
      </c>
      <c r="AN519">
        <v>517</v>
      </c>
      <c r="AO519" t="str">
        <v>PROGRAMA</v>
      </c>
      <c r="AP519" t="str">
        <v>CLIENTE-0007</v>
      </c>
      <c r="AQ519">
        <v>120</v>
      </c>
      <c r="AR519" t="str">
        <v>SI</v>
      </c>
    </row>
    <row r="520" spans="1:44">
      <c r="A520" s="2">
        <v>519</v>
      </c>
      <c r="B520" t="s">
        <v>16</v>
      </c>
      <c r="C520" t="s">
        <v>25</v>
      </c>
      <c r="D520" t="s">
        <v>24</v>
      </c>
      <c r="E520" s="3">
        <v>350</v>
      </c>
      <c r="F520" s="4">
        <v>44389</v>
      </c>
      <c r="G520" s="2" t="s">
        <v>12</v>
      </c>
      <c r="N520">
        <v>328</v>
      </c>
      <c r="O520" t="str">
        <v>FORMACION</v>
      </c>
      <c r="P520" t="str">
        <v>CLIENTE-0001</v>
      </c>
      <c r="Q520" t="str">
        <v>MADRID</v>
      </c>
      <c r="R520" s="10">
        <v>950</v>
      </c>
      <c r="S520">
        <v>44411</v>
      </c>
      <c r="T520" t="str">
        <v>SI</v>
      </c>
      <c r="AN520">
        <v>518</v>
      </c>
      <c r="AO520" t="str">
        <v>PROYECTO</v>
      </c>
      <c r="AP520" t="str">
        <v>CLIENTE-0008</v>
      </c>
      <c r="AQ520">
        <v>300</v>
      </c>
      <c r="AR520" t="str">
        <v>SI</v>
      </c>
    </row>
    <row r="521" spans="1:44">
      <c r="A521" s="2">
        <v>520</v>
      </c>
      <c r="B521" t="s">
        <v>18</v>
      </c>
      <c r="C521" t="s">
        <v>26</v>
      </c>
      <c r="D521" t="s">
        <v>9</v>
      </c>
      <c r="E521" s="3">
        <v>300</v>
      </c>
      <c r="F521" s="4">
        <v>43570</v>
      </c>
      <c r="G521" s="2" t="s">
        <v>12</v>
      </c>
      <c r="N521">
        <v>349</v>
      </c>
      <c r="O521" t="str">
        <v>PROGRAMA</v>
      </c>
      <c r="P521" t="str">
        <v>CLIENTE-0007</v>
      </c>
      <c r="Q521" t="str">
        <v>BARCELONA</v>
      </c>
      <c r="R521" s="10">
        <v>950</v>
      </c>
      <c r="S521">
        <v>43778</v>
      </c>
      <c r="T521" t="str">
        <v>NO</v>
      </c>
      <c r="AN521">
        <v>519</v>
      </c>
      <c r="AO521" t="str">
        <v>EQUIPOS</v>
      </c>
      <c r="AP521" t="str">
        <v>CLIENTE-0009</v>
      </c>
      <c r="AQ521">
        <v>350</v>
      </c>
      <c r="AR521" t="str">
        <v>SI</v>
      </c>
    </row>
    <row r="522" spans="1:44">
      <c r="A522" s="2">
        <v>521</v>
      </c>
      <c r="B522" t="s">
        <v>20</v>
      </c>
      <c r="C522" t="s">
        <v>11</v>
      </c>
      <c r="D522" t="s">
        <v>9</v>
      </c>
      <c r="E522" s="3">
        <v>120</v>
      </c>
      <c r="F522" s="4">
        <v>43826</v>
      </c>
      <c r="G522" s="2" t="s">
        <v>12</v>
      </c>
      <c r="N522">
        <v>351</v>
      </c>
      <c r="O522" t="str">
        <v>CONSULTORIA</v>
      </c>
      <c r="P522" t="str">
        <v>CLIENTE-0009</v>
      </c>
      <c r="Q522" t="str">
        <v>ALICANTE</v>
      </c>
      <c r="R522" s="10">
        <v>950</v>
      </c>
      <c r="S522">
        <v>44277</v>
      </c>
      <c r="T522" t="str">
        <v>NO</v>
      </c>
      <c r="AN522">
        <v>520</v>
      </c>
      <c r="AO522" t="str">
        <v>PROGRAMA</v>
      </c>
      <c r="AP522" t="str">
        <v>CLIENTE-0010</v>
      </c>
      <c r="AQ522">
        <v>300</v>
      </c>
      <c r="AR522" t="str">
        <v>SI</v>
      </c>
    </row>
    <row r="523" spans="1:44">
      <c r="A523" s="2">
        <v>522</v>
      </c>
      <c r="B523" t="s">
        <v>22</v>
      </c>
      <c r="C523" t="s">
        <v>14</v>
      </c>
      <c r="D523" t="s">
        <v>15</v>
      </c>
      <c r="E523" s="3">
        <v>150</v>
      </c>
      <c r="F523" s="4">
        <v>43540</v>
      </c>
      <c r="G523" s="2" t="s">
        <v>12</v>
      </c>
      <c r="N523">
        <v>391</v>
      </c>
      <c r="O523" t="str">
        <v>DESARROLLO</v>
      </c>
      <c r="P523" t="str">
        <v>CLIENTE-0004</v>
      </c>
      <c r="Q523" t="str">
        <v>MADRID</v>
      </c>
      <c r="R523" s="10">
        <v>950</v>
      </c>
      <c r="S523">
        <v>43979</v>
      </c>
      <c r="T523" t="str">
        <v>SI</v>
      </c>
      <c r="AN523">
        <v>521</v>
      </c>
      <c r="AO523" t="str">
        <v>FORMACION</v>
      </c>
      <c r="AP523" t="str">
        <v>CLIENTE-0004</v>
      </c>
      <c r="AQ523">
        <v>120</v>
      </c>
      <c r="AR523" t="str">
        <v>SI</v>
      </c>
    </row>
    <row r="524" spans="1:44">
      <c r="A524" s="2">
        <v>523</v>
      </c>
      <c r="B524" t="s">
        <v>10</v>
      </c>
      <c r="C524" t="s">
        <v>17</v>
      </c>
      <c r="D524" t="s">
        <v>15</v>
      </c>
      <c r="E524" s="3">
        <v>1200</v>
      </c>
      <c r="F524" s="4">
        <v>44089</v>
      </c>
      <c r="G524" s="2" t="s">
        <v>12</v>
      </c>
      <c r="N524">
        <v>393</v>
      </c>
      <c r="O524" t="str">
        <v>EQUIPOS</v>
      </c>
      <c r="P524" t="str">
        <v>CLIENTE-0005</v>
      </c>
      <c r="Q524" t="str">
        <v>BARCELONA</v>
      </c>
      <c r="R524" s="10">
        <v>950</v>
      </c>
      <c r="S524">
        <v>44418</v>
      </c>
      <c r="T524" t="str">
        <v>NO</v>
      </c>
      <c r="AN524">
        <v>522</v>
      </c>
      <c r="AO524" t="str">
        <v>CONSULTORIA</v>
      </c>
      <c r="AP524" t="str">
        <v>CLIENTE-0005</v>
      </c>
      <c r="AQ524">
        <v>150</v>
      </c>
      <c r="AR524" t="str">
        <v>SI</v>
      </c>
    </row>
    <row r="525" spans="1:44">
      <c r="A525" s="2">
        <v>524</v>
      </c>
      <c r="B525" t="s">
        <v>13</v>
      </c>
      <c r="C525" t="s">
        <v>19</v>
      </c>
      <c r="D525" t="s">
        <v>15</v>
      </c>
      <c r="E525" s="3">
        <v>800</v>
      </c>
      <c r="F525" s="4">
        <v>43918</v>
      </c>
      <c r="G525" s="2" t="s">
        <v>12</v>
      </c>
      <c r="N525">
        <v>425</v>
      </c>
      <c r="O525" t="str">
        <v>CONSULTORIA</v>
      </c>
      <c r="P525" t="str">
        <v>CLIENTE-0005</v>
      </c>
      <c r="Q525" t="str">
        <v>BARCELONA</v>
      </c>
      <c r="R525" s="10">
        <v>950</v>
      </c>
      <c r="S525">
        <v>43847</v>
      </c>
      <c r="T525" t="str">
        <v>SI</v>
      </c>
      <c r="AN525">
        <v>523</v>
      </c>
      <c r="AO525" t="str">
        <v>DESARROLLO</v>
      </c>
      <c r="AP525" t="str">
        <v>CLIENTE-0006</v>
      </c>
      <c r="AQ525">
        <v>1200</v>
      </c>
      <c r="AR525" t="str">
        <v>SI</v>
      </c>
    </row>
    <row r="526" spans="1:44">
      <c r="A526" s="2">
        <v>525</v>
      </c>
      <c r="B526" t="s">
        <v>16</v>
      </c>
      <c r="C526" t="s">
        <v>21</v>
      </c>
      <c r="D526" t="s">
        <v>9</v>
      </c>
      <c r="E526" s="3">
        <v>750</v>
      </c>
      <c r="F526" s="4">
        <v>44058</v>
      </c>
      <c r="G526" s="2" t="s">
        <v>12</v>
      </c>
      <c r="N526">
        <v>427</v>
      </c>
      <c r="O526" t="str">
        <v>PROYECTO</v>
      </c>
      <c r="P526" t="str">
        <v>CLIENTE-0007</v>
      </c>
      <c r="Q526" t="str">
        <v>BARCELONA</v>
      </c>
      <c r="R526" s="10">
        <v>950</v>
      </c>
      <c r="S526">
        <v>43966</v>
      </c>
      <c r="T526" t="str">
        <v>SI</v>
      </c>
      <c r="AN526">
        <v>524</v>
      </c>
      <c r="AO526" t="str">
        <v>PROYECTO</v>
      </c>
      <c r="AP526" t="str">
        <v>CLIENTE-0007</v>
      </c>
      <c r="AQ526">
        <v>800</v>
      </c>
      <c r="AR526" t="str">
        <v>SI</v>
      </c>
    </row>
    <row r="527" spans="1:44">
      <c r="A527" s="2">
        <v>526</v>
      </c>
      <c r="B527" t="s">
        <v>22</v>
      </c>
      <c r="C527" t="s">
        <v>11</v>
      </c>
      <c r="D527" t="s">
        <v>9</v>
      </c>
      <c r="E527" s="3">
        <v>4500</v>
      </c>
      <c r="F527" s="4">
        <v>43527</v>
      </c>
      <c r="G527" s="2" t="s">
        <v>12</v>
      </c>
      <c r="N527">
        <v>437</v>
      </c>
      <c r="O527" t="str">
        <v>PROYECTO</v>
      </c>
      <c r="P527" t="str">
        <v>CLIENTE-0005</v>
      </c>
      <c r="Q527" t="str">
        <v>BARCELONA</v>
      </c>
      <c r="R527" s="10">
        <v>950</v>
      </c>
      <c r="S527">
        <v>43635</v>
      </c>
      <c r="T527" t="str">
        <v>NO</v>
      </c>
      <c r="AN527">
        <v>525</v>
      </c>
      <c r="AO527" t="str">
        <v>EQUIPOS</v>
      </c>
      <c r="AP527" t="str">
        <v>CLIENTE-0003</v>
      </c>
      <c r="AQ527">
        <v>750</v>
      </c>
      <c r="AR527" t="str">
        <v>SI</v>
      </c>
    </row>
    <row r="528" spans="1:44">
      <c r="A528" s="2">
        <v>527</v>
      </c>
      <c r="B528" t="s">
        <v>10</v>
      </c>
      <c r="C528" t="s">
        <v>14</v>
      </c>
      <c r="D528" t="s">
        <v>15</v>
      </c>
      <c r="E528" s="3">
        <v>500</v>
      </c>
      <c r="F528" s="4">
        <v>43836</v>
      </c>
      <c r="G528" s="2" t="s">
        <v>12</v>
      </c>
      <c r="N528">
        <v>439</v>
      </c>
      <c r="O528" t="str">
        <v>PROGRAMA</v>
      </c>
      <c r="P528" t="str">
        <v>CLIENTE-0006</v>
      </c>
      <c r="Q528" t="str">
        <v>BARCELONA</v>
      </c>
      <c r="R528" s="10">
        <v>950</v>
      </c>
      <c r="S528">
        <v>44543</v>
      </c>
      <c r="T528" t="str">
        <v>NO</v>
      </c>
      <c r="AN528">
        <v>526</v>
      </c>
      <c r="AO528" t="str">
        <v>CONSULTORIA</v>
      </c>
      <c r="AP528" t="str">
        <v>CLIENTE-0004</v>
      </c>
      <c r="AQ528">
        <v>4500</v>
      </c>
      <c r="AR528" t="str">
        <v>SI</v>
      </c>
    </row>
    <row r="529" spans="1:44">
      <c r="A529" s="2">
        <v>528</v>
      </c>
      <c r="B529" t="s">
        <v>13</v>
      </c>
      <c r="C529" t="s">
        <v>14</v>
      </c>
      <c r="D529" t="s">
        <v>15</v>
      </c>
      <c r="E529" s="3">
        <v>750</v>
      </c>
      <c r="F529" s="4">
        <v>44418</v>
      </c>
      <c r="G529" s="2" t="s">
        <v>12</v>
      </c>
      <c r="N529">
        <v>460</v>
      </c>
      <c r="O529" t="str">
        <v>CONSULTORIA</v>
      </c>
      <c r="P529" t="str">
        <v>CLIENTE-0007</v>
      </c>
      <c r="Q529" t="str">
        <v>BARCELONA</v>
      </c>
      <c r="R529" s="10">
        <v>950</v>
      </c>
      <c r="S529">
        <v>43691</v>
      </c>
      <c r="T529" t="str">
        <v>SI</v>
      </c>
      <c r="AN529">
        <v>527</v>
      </c>
      <c r="AO529" t="str">
        <v>DESARROLLO</v>
      </c>
      <c r="AP529" t="str">
        <v>CLIENTE-0005</v>
      </c>
      <c r="AQ529">
        <v>500</v>
      </c>
      <c r="AR529" t="str">
        <v>SI</v>
      </c>
    </row>
    <row r="530" spans="1:44">
      <c r="A530" s="2">
        <v>529</v>
      </c>
      <c r="B530" t="s">
        <v>16</v>
      </c>
      <c r="C530" t="s">
        <v>17</v>
      </c>
      <c r="D530" t="s">
        <v>15</v>
      </c>
      <c r="E530" s="3">
        <v>950</v>
      </c>
      <c r="F530" s="4">
        <v>44335</v>
      </c>
      <c r="G530" s="2" t="s">
        <v>12</v>
      </c>
      <c r="N530">
        <v>462</v>
      </c>
      <c r="O530" t="str">
        <v>PROYECTO</v>
      </c>
      <c r="P530" t="str">
        <v>CLIENTE-0009</v>
      </c>
      <c r="Q530" t="str">
        <v>ALICANTE</v>
      </c>
      <c r="R530" s="10">
        <v>950</v>
      </c>
      <c r="S530">
        <v>43581</v>
      </c>
      <c r="T530" t="str">
        <v>SI</v>
      </c>
      <c r="AN530">
        <v>528</v>
      </c>
      <c r="AO530" t="str">
        <v>PROYECTO</v>
      </c>
      <c r="AP530" t="str">
        <v>CLIENTE-0005</v>
      </c>
      <c r="AQ530">
        <v>750</v>
      </c>
      <c r="AR530" t="str">
        <v>SI</v>
      </c>
    </row>
    <row r="531" spans="1:44">
      <c r="A531" s="2">
        <v>530</v>
      </c>
      <c r="B531" t="s">
        <v>18</v>
      </c>
      <c r="C531" t="s">
        <v>19</v>
      </c>
      <c r="D531" t="s">
        <v>15</v>
      </c>
      <c r="E531" s="3">
        <v>680</v>
      </c>
      <c r="F531" s="4">
        <v>43904</v>
      </c>
      <c r="G531" s="2" t="s">
        <v>12</v>
      </c>
      <c r="N531">
        <v>494</v>
      </c>
      <c r="O531" t="str">
        <v>CONSULTORIA</v>
      </c>
      <c r="P531" t="str">
        <v>CLIENTE-0004</v>
      </c>
      <c r="Q531" t="str">
        <v>MADRID</v>
      </c>
      <c r="R531" s="10">
        <v>950</v>
      </c>
      <c r="S531">
        <v>44158</v>
      </c>
      <c r="T531" t="str">
        <v>SI</v>
      </c>
      <c r="AN531">
        <v>529</v>
      </c>
      <c r="AO531" t="str">
        <v>EQUIPOS</v>
      </c>
      <c r="AP531" t="str">
        <v>CLIENTE-0006</v>
      </c>
      <c r="AQ531">
        <v>950</v>
      </c>
      <c r="AR531" t="str">
        <v>SI</v>
      </c>
    </row>
    <row r="532" spans="1:44">
      <c r="A532" s="2">
        <v>531</v>
      </c>
      <c r="B532" t="s">
        <v>20</v>
      </c>
      <c r="C532" t="s">
        <v>23</v>
      </c>
      <c r="D532" t="s">
        <v>24</v>
      </c>
      <c r="E532" s="3">
        <v>950</v>
      </c>
      <c r="F532" s="4">
        <v>43612</v>
      </c>
      <c r="G532" s="2" t="s">
        <v>12</v>
      </c>
      <c r="N532">
        <v>496</v>
      </c>
      <c r="O532" t="str">
        <v>PROYECTO</v>
      </c>
      <c r="P532" t="str">
        <v>CLIENTE-0006</v>
      </c>
      <c r="Q532" t="str">
        <v>BARCELONA</v>
      </c>
      <c r="R532" s="10">
        <v>950</v>
      </c>
      <c r="S532">
        <v>44255</v>
      </c>
      <c r="T532" t="str">
        <v>SI</v>
      </c>
      <c r="AN532">
        <v>530</v>
      </c>
      <c r="AO532" t="str">
        <v>PROGRAMA</v>
      </c>
      <c r="AP532" t="str">
        <v>CLIENTE-0007</v>
      </c>
      <c r="AQ532">
        <v>680</v>
      </c>
      <c r="AR532" t="str">
        <v>SI</v>
      </c>
    </row>
    <row r="533" spans="1:44">
      <c r="A533" s="2">
        <v>532</v>
      </c>
      <c r="B533" t="s">
        <v>22</v>
      </c>
      <c r="C533" t="s">
        <v>25</v>
      </c>
      <c r="D533" t="s">
        <v>24</v>
      </c>
      <c r="E533" s="3">
        <v>1500</v>
      </c>
      <c r="F533" s="4">
        <v>44127</v>
      </c>
      <c r="G533" s="2" t="s">
        <v>12</v>
      </c>
      <c r="N533">
        <v>506</v>
      </c>
      <c r="O533" t="str">
        <v>FORMACION</v>
      </c>
      <c r="P533" t="str">
        <v>CLIENTE-0008</v>
      </c>
      <c r="Q533" t="str">
        <v>ALICANTE</v>
      </c>
      <c r="R533" s="10">
        <v>950</v>
      </c>
      <c r="S533">
        <v>44317</v>
      </c>
      <c r="T533" t="str">
        <v>NO</v>
      </c>
      <c r="AN533">
        <v>531</v>
      </c>
      <c r="AO533" t="str">
        <v>FORMACION</v>
      </c>
      <c r="AP533" t="str">
        <v>CLIENTE-0008</v>
      </c>
      <c r="AQ533">
        <v>950</v>
      </c>
      <c r="AR533" t="str">
        <v>SI</v>
      </c>
    </row>
    <row r="534" spans="1:44">
      <c r="A534" s="2">
        <v>533</v>
      </c>
      <c r="B534" t="s">
        <v>10</v>
      </c>
      <c r="C534" t="s">
        <v>26</v>
      </c>
      <c r="D534" t="s">
        <v>9</v>
      </c>
      <c r="E534" s="3">
        <v>5000</v>
      </c>
      <c r="F534" s="4">
        <v>43952</v>
      </c>
      <c r="G534" s="2" t="s">
        <v>28</v>
      </c>
      <c r="N534">
        <v>508</v>
      </c>
      <c r="O534" t="str">
        <v>DESARROLLO</v>
      </c>
      <c r="P534" t="str">
        <v>CLIENTE-0010</v>
      </c>
      <c r="Q534" t="str">
        <v>MADRID</v>
      </c>
      <c r="R534" s="10">
        <v>950</v>
      </c>
      <c r="S534">
        <v>43716</v>
      </c>
      <c r="T534" t="str">
        <v>NO</v>
      </c>
      <c r="AN534">
        <v>532</v>
      </c>
      <c r="AO534" t="str">
        <v>CONSULTORIA</v>
      </c>
      <c r="AP534" t="str">
        <v>CLIENTE-0009</v>
      </c>
      <c r="AQ534">
        <v>1500</v>
      </c>
      <c r="AR534" t="str">
        <v>SI</v>
      </c>
    </row>
    <row r="535" spans="1:44">
      <c r="A535" s="2">
        <v>534</v>
      </c>
      <c r="B535" t="s">
        <v>13</v>
      </c>
      <c r="C535" t="s">
        <v>27</v>
      </c>
      <c r="D535" t="s">
        <v>9</v>
      </c>
      <c r="E535" s="3">
        <v>6500</v>
      </c>
      <c r="F535" s="4">
        <v>43632</v>
      </c>
      <c r="G535" s="2" t="s">
        <v>28</v>
      </c>
      <c r="N535">
        <v>529</v>
      </c>
      <c r="O535" t="str">
        <v>EQUIPOS</v>
      </c>
      <c r="P535" t="str">
        <v>CLIENTE-0006</v>
      </c>
      <c r="Q535" t="str">
        <v>BARCELONA</v>
      </c>
      <c r="R535" s="10">
        <v>950</v>
      </c>
      <c r="S535">
        <v>44335</v>
      </c>
      <c r="T535" t="str">
        <v>SI</v>
      </c>
      <c r="AN535">
        <v>533</v>
      </c>
      <c r="AO535" t="str">
        <v>DESARROLLO</v>
      </c>
      <c r="AP535" t="str">
        <v>CLIENTE-0010</v>
      </c>
      <c r="AQ535">
        <v>5000</v>
      </c>
      <c r="AR535" t="str">
        <v>NO</v>
      </c>
    </row>
    <row r="536" spans="1:44">
      <c r="A536" s="2">
        <v>535</v>
      </c>
      <c r="B536" t="s">
        <v>16</v>
      </c>
      <c r="C536" t="s">
        <v>26</v>
      </c>
      <c r="D536" t="s">
        <v>9</v>
      </c>
      <c r="E536" s="3">
        <v>8500</v>
      </c>
      <c r="F536" s="4">
        <v>43722</v>
      </c>
      <c r="G536" s="2" t="s">
        <v>28</v>
      </c>
      <c r="N536">
        <v>531</v>
      </c>
      <c r="O536" t="str">
        <v>FORMACION</v>
      </c>
      <c r="P536" t="str">
        <v>CLIENTE-0008</v>
      </c>
      <c r="Q536" t="str">
        <v>ALICANTE</v>
      </c>
      <c r="R536" s="10">
        <v>950</v>
      </c>
      <c r="S536">
        <v>43612</v>
      </c>
      <c r="T536" t="str">
        <v>SI</v>
      </c>
      <c r="AN536">
        <v>534</v>
      </c>
      <c r="AO536" t="str">
        <v>PROYECTO</v>
      </c>
      <c r="AP536" t="str">
        <v>CLIENTE-0001</v>
      </c>
      <c r="AQ536">
        <v>6500</v>
      </c>
      <c r="AR536" t="str">
        <v>NO</v>
      </c>
    </row>
    <row r="537" spans="1:44">
      <c r="A537" s="2">
        <v>536</v>
      </c>
      <c r="B537" t="s">
        <v>18</v>
      </c>
      <c r="C537" t="s">
        <v>27</v>
      </c>
      <c r="D537" t="s">
        <v>9</v>
      </c>
      <c r="E537" s="3">
        <v>1200</v>
      </c>
      <c r="F537" s="4">
        <v>43856</v>
      </c>
      <c r="G537" s="2" t="s">
        <v>28</v>
      </c>
      <c r="N537">
        <v>563</v>
      </c>
      <c r="O537" t="str">
        <v>EQUIPOS</v>
      </c>
      <c r="P537" t="str">
        <v>CLIENTE-0008</v>
      </c>
      <c r="Q537" t="str">
        <v>ALICANTE</v>
      </c>
      <c r="R537" s="10">
        <v>950</v>
      </c>
      <c r="S537">
        <v>44278</v>
      </c>
      <c r="T537" t="str">
        <v>SI</v>
      </c>
      <c r="AN537">
        <v>535</v>
      </c>
      <c r="AO537" t="str">
        <v>EQUIPOS</v>
      </c>
      <c r="AP537" t="str">
        <v>CLIENTE-0010</v>
      </c>
      <c r="AQ537">
        <v>8500</v>
      </c>
      <c r="AR537" t="str">
        <v>NO</v>
      </c>
    </row>
    <row r="538" spans="1:44">
      <c r="A538" s="2">
        <v>537</v>
      </c>
      <c r="B538" t="s">
        <v>20</v>
      </c>
      <c r="C538" t="s">
        <v>29</v>
      </c>
      <c r="D538" t="s">
        <v>24</v>
      </c>
      <c r="E538" s="3">
        <v>300</v>
      </c>
      <c r="F538" s="4">
        <v>43725</v>
      </c>
      <c r="G538" s="2" t="s">
        <v>28</v>
      </c>
      <c r="N538">
        <v>565</v>
      </c>
      <c r="O538" t="str">
        <v>FORMACION</v>
      </c>
      <c r="P538" t="str">
        <v>CLIENTE-0010</v>
      </c>
      <c r="Q538" t="str">
        <v>MADRID</v>
      </c>
      <c r="R538" s="10">
        <v>950</v>
      </c>
      <c r="S538">
        <v>44448</v>
      </c>
      <c r="T538" t="str">
        <v>SI</v>
      </c>
      <c r="AN538">
        <v>536</v>
      </c>
      <c r="AO538" t="str">
        <v>PROGRAMA</v>
      </c>
      <c r="AP538" t="str">
        <v>CLIENTE-0001</v>
      </c>
      <c r="AQ538">
        <v>1200</v>
      </c>
      <c r="AR538" t="str">
        <v>NO</v>
      </c>
    </row>
    <row r="539" spans="1:44">
      <c r="A539" s="2">
        <v>538</v>
      </c>
      <c r="B539" t="s">
        <v>22</v>
      </c>
      <c r="C539" t="s">
        <v>21</v>
      </c>
      <c r="D539" t="s">
        <v>9</v>
      </c>
      <c r="E539" s="3">
        <v>200</v>
      </c>
      <c r="F539" s="4">
        <v>43691</v>
      </c>
      <c r="G539" s="2" t="s">
        <v>28</v>
      </c>
      <c r="N539">
        <v>575</v>
      </c>
      <c r="O539" t="str">
        <v>EQUIPOS</v>
      </c>
      <c r="P539" t="str">
        <v>CLIENTE-0010</v>
      </c>
      <c r="Q539" t="str">
        <v>MADRID</v>
      </c>
      <c r="R539" s="10">
        <v>950</v>
      </c>
      <c r="S539">
        <v>44153</v>
      </c>
      <c r="T539" t="str">
        <v>NO</v>
      </c>
      <c r="AN539">
        <v>537</v>
      </c>
      <c r="AO539" t="str">
        <v>FORMACION</v>
      </c>
      <c r="AP539" t="str">
        <v>CLIENTE-0002</v>
      </c>
      <c r="AQ539">
        <v>300</v>
      </c>
      <c r="AR539" t="str">
        <v>NO</v>
      </c>
    </row>
    <row r="540" spans="1:44">
      <c r="A540" s="2">
        <v>539</v>
      </c>
      <c r="B540" t="s">
        <v>10</v>
      </c>
      <c r="C540" t="s">
        <v>11</v>
      </c>
      <c r="D540" t="s">
        <v>9</v>
      </c>
      <c r="E540" s="3">
        <v>150</v>
      </c>
      <c r="F540" s="4">
        <v>44149</v>
      </c>
      <c r="G540" s="2" t="s">
        <v>28</v>
      </c>
      <c r="N540">
        <v>577</v>
      </c>
      <c r="O540" t="str">
        <v>FORMACION</v>
      </c>
      <c r="P540" t="str">
        <v>CLIENTE-0002</v>
      </c>
      <c r="Q540" t="str">
        <v>ALICANTE</v>
      </c>
      <c r="R540" s="10">
        <v>950</v>
      </c>
      <c r="S540">
        <v>44164</v>
      </c>
      <c r="T540" t="str">
        <v>NO</v>
      </c>
      <c r="AN540">
        <v>538</v>
      </c>
      <c r="AO540" t="str">
        <v>CONSULTORIA</v>
      </c>
      <c r="AP540" t="str">
        <v>CLIENTE-0003</v>
      </c>
      <c r="AQ540">
        <v>200</v>
      </c>
      <c r="AR540" t="str">
        <v>NO</v>
      </c>
    </row>
    <row r="541" spans="1:44">
      <c r="A541" s="2">
        <v>540</v>
      </c>
      <c r="B541" t="s">
        <v>13</v>
      </c>
      <c r="C541" t="s">
        <v>14</v>
      </c>
      <c r="D541" t="s">
        <v>15</v>
      </c>
      <c r="E541" s="3">
        <v>120</v>
      </c>
      <c r="F541" s="4">
        <v>43577</v>
      </c>
      <c r="G541" s="2" t="s">
        <v>12</v>
      </c>
      <c r="N541">
        <v>598</v>
      </c>
      <c r="O541" t="str">
        <v>EQUIPOS</v>
      </c>
      <c r="P541" t="str">
        <v>CLIENTE-0003</v>
      </c>
      <c r="Q541" t="str">
        <v>MADRID</v>
      </c>
      <c r="R541" s="10">
        <v>950</v>
      </c>
      <c r="S541">
        <v>44347</v>
      </c>
      <c r="T541" t="str">
        <v>SI</v>
      </c>
      <c r="AN541">
        <v>539</v>
      </c>
      <c r="AO541" t="str">
        <v>DESARROLLO</v>
      </c>
      <c r="AP541" t="str">
        <v>CLIENTE-0004</v>
      </c>
      <c r="AQ541">
        <v>150</v>
      </c>
      <c r="AR541" t="str">
        <v>NO</v>
      </c>
    </row>
    <row r="542" spans="1:44">
      <c r="A542" s="2">
        <v>541</v>
      </c>
      <c r="B542" t="s">
        <v>16</v>
      </c>
      <c r="C542" t="s">
        <v>17</v>
      </c>
      <c r="D542" t="s">
        <v>15</v>
      </c>
      <c r="E542" s="3">
        <v>300</v>
      </c>
      <c r="F542" s="4">
        <v>43853</v>
      </c>
      <c r="G542" s="2" t="s">
        <v>12</v>
      </c>
      <c r="N542">
        <v>600</v>
      </c>
      <c r="O542" t="str">
        <v>FORMACION</v>
      </c>
      <c r="P542" t="str">
        <v>CLIENTE-0005</v>
      </c>
      <c r="Q542" t="str">
        <v>BARCELONA</v>
      </c>
      <c r="R542" s="10">
        <v>950</v>
      </c>
      <c r="S542">
        <v>44258</v>
      </c>
      <c r="T542" t="str">
        <v>SI</v>
      </c>
      <c r="AN542">
        <v>540</v>
      </c>
      <c r="AO542" t="str">
        <v>PROYECTO</v>
      </c>
      <c r="AP542" t="str">
        <v>CLIENTE-0005</v>
      </c>
      <c r="AQ542">
        <v>120</v>
      </c>
      <c r="AR542" t="str">
        <v>SI</v>
      </c>
    </row>
    <row r="543" spans="1:44">
      <c r="A543" s="2">
        <v>542</v>
      </c>
      <c r="B543" t="s">
        <v>18</v>
      </c>
      <c r="C543" t="s">
        <v>19</v>
      </c>
      <c r="D543" t="s">
        <v>15</v>
      </c>
      <c r="E543" s="3">
        <v>350</v>
      </c>
      <c r="F543" s="4">
        <v>44005</v>
      </c>
      <c r="G543" s="2" t="s">
        <v>12</v>
      </c>
      <c r="N543">
        <v>632</v>
      </c>
      <c r="O543" t="str">
        <v>CONSULTORIA</v>
      </c>
      <c r="P543" t="str">
        <v>CLIENTE-0005</v>
      </c>
      <c r="Q543" t="str">
        <v>BARCELONA</v>
      </c>
      <c r="R543" s="10">
        <v>950</v>
      </c>
      <c r="S543">
        <v>43853</v>
      </c>
      <c r="T543" t="str">
        <v>SI</v>
      </c>
      <c r="AN543">
        <v>541</v>
      </c>
      <c r="AO543" t="str">
        <v>EQUIPOS</v>
      </c>
      <c r="AP543" t="str">
        <v>CLIENTE-0006</v>
      </c>
      <c r="AQ543">
        <v>300</v>
      </c>
      <c r="AR543" t="str">
        <v>SI</v>
      </c>
    </row>
    <row r="544" spans="1:44">
      <c r="A544" s="2">
        <v>543</v>
      </c>
      <c r="B544" t="s">
        <v>20</v>
      </c>
      <c r="C544" t="s">
        <v>23</v>
      </c>
      <c r="D544" t="s">
        <v>24</v>
      </c>
      <c r="E544" s="3">
        <v>300</v>
      </c>
      <c r="F544" s="4">
        <v>44090</v>
      </c>
      <c r="G544" s="2" t="s">
        <v>12</v>
      </c>
      <c r="N544">
        <v>642</v>
      </c>
      <c r="O544" t="str">
        <v>PROGRAMA</v>
      </c>
      <c r="P544" t="str">
        <v>CLIENTE-0002</v>
      </c>
      <c r="Q544" t="str">
        <v>ALICANTE</v>
      </c>
      <c r="R544" s="10">
        <v>950</v>
      </c>
      <c r="S544">
        <v>43573</v>
      </c>
      <c r="T544" t="str">
        <v>SI</v>
      </c>
      <c r="AN544">
        <v>542</v>
      </c>
      <c r="AO544" t="str">
        <v>PROGRAMA</v>
      </c>
      <c r="AP544" t="str">
        <v>CLIENTE-0007</v>
      </c>
      <c r="AQ544">
        <v>350</v>
      </c>
      <c r="AR544" t="str">
        <v>SI</v>
      </c>
    </row>
    <row r="545" spans="1:44">
      <c r="A545" s="2">
        <v>544</v>
      </c>
      <c r="B545" t="s">
        <v>22</v>
      </c>
      <c r="C545" t="s">
        <v>25</v>
      </c>
      <c r="D545" t="s">
        <v>24</v>
      </c>
      <c r="E545" s="3">
        <v>120</v>
      </c>
      <c r="F545" s="4">
        <v>44147</v>
      </c>
      <c r="G545" s="2" t="s">
        <v>12</v>
      </c>
      <c r="N545">
        <v>644</v>
      </c>
      <c r="O545" t="str">
        <v>CONSULTORIA</v>
      </c>
      <c r="P545" t="str">
        <v>CLIENTE-0004</v>
      </c>
      <c r="Q545" t="str">
        <v>MADRID</v>
      </c>
      <c r="R545" s="10">
        <v>950</v>
      </c>
      <c r="S545">
        <v>44320</v>
      </c>
      <c r="T545" t="str">
        <v>NO</v>
      </c>
      <c r="AN545">
        <v>543</v>
      </c>
      <c r="AO545" t="str">
        <v>FORMACION</v>
      </c>
      <c r="AP545" t="str">
        <v>CLIENTE-0008</v>
      </c>
      <c r="AQ545">
        <v>300</v>
      </c>
      <c r="AR545" t="str">
        <v>SI</v>
      </c>
    </row>
    <row r="546" spans="1:44">
      <c r="A546" s="2">
        <v>545</v>
      </c>
      <c r="B546" t="s">
        <v>10</v>
      </c>
      <c r="C546" t="s">
        <v>26</v>
      </c>
      <c r="D546" t="s">
        <v>9</v>
      </c>
      <c r="E546" s="3">
        <v>150</v>
      </c>
      <c r="F546" s="4">
        <v>44155</v>
      </c>
      <c r="G546" s="2" t="s">
        <v>12</v>
      </c>
      <c r="N546">
        <v>684</v>
      </c>
      <c r="O546" t="str">
        <v>DESARROLLO</v>
      </c>
      <c r="P546" t="str">
        <v>CLIENTE-0005</v>
      </c>
      <c r="Q546" t="str">
        <v>BARCELONA</v>
      </c>
      <c r="R546" s="10">
        <v>950</v>
      </c>
      <c r="S546">
        <v>43923</v>
      </c>
      <c r="T546" t="str">
        <v>SI</v>
      </c>
      <c r="AN546">
        <v>544</v>
      </c>
      <c r="AO546" t="str">
        <v>CONSULTORIA</v>
      </c>
      <c r="AP546" t="str">
        <v>CLIENTE-0009</v>
      </c>
      <c r="AQ546">
        <v>120</v>
      </c>
      <c r="AR546" t="str">
        <v>SI</v>
      </c>
    </row>
    <row r="547" spans="1:44">
      <c r="A547" s="2">
        <v>546</v>
      </c>
      <c r="B547" t="s">
        <v>13</v>
      </c>
      <c r="C547" t="s">
        <v>11</v>
      </c>
      <c r="D547" t="s">
        <v>9</v>
      </c>
      <c r="E547" s="3">
        <v>8500</v>
      </c>
      <c r="F547" s="4">
        <v>44182</v>
      </c>
      <c r="G547" s="2" t="s">
        <v>12</v>
      </c>
      <c r="N547">
        <v>686</v>
      </c>
      <c r="O547" t="str">
        <v>EQUIPOS</v>
      </c>
      <c r="P547" t="str">
        <v>CLIENTE-0006</v>
      </c>
      <c r="Q547" t="str">
        <v>BARCELONA</v>
      </c>
      <c r="R547" s="10">
        <v>950</v>
      </c>
      <c r="S547">
        <v>43660</v>
      </c>
      <c r="T547" t="str">
        <v>SI</v>
      </c>
      <c r="AN547">
        <v>545</v>
      </c>
      <c r="AO547" t="str">
        <v>DESARROLLO</v>
      </c>
      <c r="AP547" t="str">
        <v>CLIENTE-0010</v>
      </c>
      <c r="AQ547">
        <v>150</v>
      </c>
      <c r="AR547" t="str">
        <v>SI</v>
      </c>
    </row>
    <row r="548" spans="1:44">
      <c r="A548" s="2">
        <v>547</v>
      </c>
      <c r="B548" t="s">
        <v>16</v>
      </c>
      <c r="C548" t="s">
        <v>14</v>
      </c>
      <c r="D548" t="s">
        <v>15</v>
      </c>
      <c r="E548" s="3">
        <v>1200</v>
      </c>
      <c r="F548" s="4">
        <v>44333</v>
      </c>
      <c r="G548" s="2" t="s">
        <v>28</v>
      </c>
      <c r="N548">
        <v>718</v>
      </c>
      <c r="O548" t="str">
        <v>DESARROLLO</v>
      </c>
      <c r="P548" t="str">
        <v>CLIENTE-0006</v>
      </c>
      <c r="Q548" t="str">
        <v>BARCELONA</v>
      </c>
      <c r="R548" s="10">
        <v>950</v>
      </c>
      <c r="S548">
        <v>44383</v>
      </c>
      <c r="T548" t="str">
        <v>NO</v>
      </c>
      <c r="AN548">
        <v>546</v>
      </c>
      <c r="AO548" t="str">
        <v>PROYECTO</v>
      </c>
      <c r="AP548" t="str">
        <v>CLIENTE-0004</v>
      </c>
      <c r="AQ548">
        <v>8500</v>
      </c>
      <c r="AR548" t="str">
        <v>SI</v>
      </c>
    </row>
    <row r="549" spans="1:44">
      <c r="A549" s="2">
        <v>548</v>
      </c>
      <c r="B549" t="s">
        <v>18</v>
      </c>
      <c r="C549" t="s">
        <v>14</v>
      </c>
      <c r="D549" t="s">
        <v>15</v>
      </c>
      <c r="E549" s="3">
        <v>300</v>
      </c>
      <c r="F549" s="4">
        <v>43829</v>
      </c>
      <c r="G549" s="2" t="s">
        <v>28</v>
      </c>
      <c r="N549">
        <v>720</v>
      </c>
      <c r="O549" t="str">
        <v>EQUIPOS</v>
      </c>
      <c r="P549" t="str">
        <v>CLIENTE-0008</v>
      </c>
      <c r="Q549" t="str">
        <v>ALICANTE</v>
      </c>
      <c r="R549" s="10">
        <v>950</v>
      </c>
      <c r="S549">
        <v>43801</v>
      </c>
      <c r="T549" t="str">
        <v>SI</v>
      </c>
      <c r="AN549">
        <v>547</v>
      </c>
      <c r="AO549" t="str">
        <v>EQUIPOS</v>
      </c>
      <c r="AP549" t="str">
        <v>CLIENTE-0005</v>
      </c>
      <c r="AQ549">
        <v>1200</v>
      </c>
      <c r="AR549" t="str">
        <v>NO</v>
      </c>
    </row>
    <row r="550" spans="1:44">
      <c r="A550" s="2">
        <v>549</v>
      </c>
      <c r="B550" t="s">
        <v>20</v>
      </c>
      <c r="C550" t="s">
        <v>17</v>
      </c>
      <c r="D550" t="s">
        <v>15</v>
      </c>
      <c r="E550" s="3">
        <v>200</v>
      </c>
      <c r="F550" s="4">
        <v>44534</v>
      </c>
      <c r="G550" s="2" t="s">
        <v>28</v>
      </c>
      <c r="N550">
        <v>749</v>
      </c>
      <c r="O550" t="str">
        <v>EQUIPOS</v>
      </c>
      <c r="P550" t="str">
        <v>CLIENTE-0008</v>
      </c>
      <c r="Q550" t="str">
        <v>ALICANTE</v>
      </c>
      <c r="R550" s="10">
        <v>950</v>
      </c>
      <c r="S550">
        <v>44490</v>
      </c>
      <c r="T550" t="str">
        <v>SI</v>
      </c>
      <c r="AN550">
        <v>548</v>
      </c>
      <c r="AO550" t="str">
        <v>PROGRAMA</v>
      </c>
      <c r="AP550" t="str">
        <v>CLIENTE-0005</v>
      </c>
      <c r="AQ550">
        <v>300</v>
      </c>
      <c r="AR550" t="str">
        <v>NO</v>
      </c>
    </row>
    <row r="551" spans="1:44">
      <c r="A551" s="2">
        <v>550</v>
      </c>
      <c r="B551" t="s">
        <v>22</v>
      </c>
      <c r="C551" t="s">
        <v>19</v>
      </c>
      <c r="D551" t="s">
        <v>15</v>
      </c>
      <c r="E551" s="3">
        <v>150</v>
      </c>
      <c r="F551" s="4">
        <v>44178</v>
      </c>
      <c r="G551" s="2" t="s">
        <v>28</v>
      </c>
      <c r="N551">
        <v>751</v>
      </c>
      <c r="O551" t="str">
        <v>FORMACION</v>
      </c>
      <c r="P551" t="str">
        <v>CLIENTE-0010</v>
      </c>
      <c r="Q551" t="str">
        <v>MADRID</v>
      </c>
      <c r="R551" s="10">
        <v>950</v>
      </c>
      <c r="S551">
        <v>44475</v>
      </c>
      <c r="T551" t="str">
        <v>SI</v>
      </c>
      <c r="AN551">
        <v>549</v>
      </c>
      <c r="AO551" t="str">
        <v>FORMACION</v>
      </c>
      <c r="AP551" t="str">
        <v>CLIENTE-0006</v>
      </c>
      <c r="AQ551">
        <v>200</v>
      </c>
      <c r="AR551" t="str">
        <v>NO</v>
      </c>
    </row>
    <row r="552" spans="1:44">
      <c r="A552" s="2">
        <v>551</v>
      </c>
      <c r="B552" t="s">
        <v>10</v>
      </c>
      <c r="C552" t="s">
        <v>23</v>
      </c>
      <c r="D552" t="s">
        <v>24</v>
      </c>
      <c r="E552" s="3">
        <v>120</v>
      </c>
      <c r="F552" s="4">
        <v>44555</v>
      </c>
      <c r="G552" s="2" t="s">
        <v>28</v>
      </c>
      <c r="N552">
        <v>1</v>
      </c>
      <c r="O552" t="str">
        <v>DESARROLLO</v>
      </c>
      <c r="P552" t="str">
        <v>CLIENTE-0004</v>
      </c>
      <c r="Q552" t="str">
        <v>MADRID</v>
      </c>
      <c r="R552" s="10">
        <v>1200</v>
      </c>
      <c r="S552">
        <v>43677</v>
      </c>
      <c r="T552" t="str">
        <v>SI</v>
      </c>
      <c r="AN552">
        <v>550</v>
      </c>
      <c r="AO552" t="str">
        <v>CONSULTORIA</v>
      </c>
      <c r="AP552" t="str">
        <v>CLIENTE-0007</v>
      </c>
      <c r="AQ552">
        <v>150</v>
      </c>
      <c r="AR552" t="str">
        <v>NO</v>
      </c>
    </row>
    <row r="553" spans="1:44">
      <c r="A553" s="2">
        <v>552</v>
      </c>
      <c r="B553" t="s">
        <v>13</v>
      </c>
      <c r="C553" t="s">
        <v>25</v>
      </c>
      <c r="D553" t="s">
        <v>24</v>
      </c>
      <c r="E553" s="3">
        <v>300</v>
      </c>
      <c r="F553" s="4">
        <v>43749</v>
      </c>
      <c r="G553" s="2" t="s">
        <v>28</v>
      </c>
      <c r="N553">
        <v>14</v>
      </c>
      <c r="O553" t="str">
        <v>PROYECTO</v>
      </c>
      <c r="P553" t="str">
        <v>CLIENTE-0001</v>
      </c>
      <c r="Q553" t="str">
        <v>MADRID</v>
      </c>
      <c r="R553" s="10">
        <v>1200</v>
      </c>
      <c r="S553">
        <v>44257</v>
      </c>
      <c r="T553" t="str">
        <v>SI</v>
      </c>
      <c r="AN553">
        <v>551</v>
      </c>
      <c r="AO553" t="str">
        <v>DESARROLLO</v>
      </c>
      <c r="AP553" t="str">
        <v>CLIENTE-0008</v>
      </c>
      <c r="AQ553">
        <v>120</v>
      </c>
      <c r="AR553" t="str">
        <v>NO</v>
      </c>
    </row>
    <row r="554" spans="1:44">
      <c r="A554" s="2">
        <v>553</v>
      </c>
      <c r="B554" t="s">
        <v>16</v>
      </c>
      <c r="C554" t="s">
        <v>26</v>
      </c>
      <c r="D554" t="s">
        <v>9</v>
      </c>
      <c r="E554" s="3">
        <v>350</v>
      </c>
      <c r="F554" s="4">
        <v>43812</v>
      </c>
      <c r="G554" s="2" t="s">
        <v>12</v>
      </c>
      <c r="N554">
        <v>24</v>
      </c>
      <c r="O554" t="str">
        <v>PROYECTO</v>
      </c>
      <c r="P554" t="str">
        <v>CLIENTE-0009</v>
      </c>
      <c r="Q554" t="str">
        <v>ALICANTE</v>
      </c>
      <c r="R554" s="10">
        <v>1200</v>
      </c>
      <c r="S554">
        <v>44149</v>
      </c>
      <c r="T554" t="str">
        <v>SI</v>
      </c>
      <c r="AN554">
        <v>552</v>
      </c>
      <c r="AO554" t="str">
        <v>PROYECTO</v>
      </c>
      <c r="AP554" t="str">
        <v>CLIENTE-0009</v>
      </c>
      <c r="AQ554">
        <v>300</v>
      </c>
      <c r="AR554" t="str">
        <v>NO</v>
      </c>
    </row>
    <row r="555" spans="1:44">
      <c r="A555" s="2">
        <v>554</v>
      </c>
      <c r="B555" t="s">
        <v>18</v>
      </c>
      <c r="C555" t="s">
        <v>27</v>
      </c>
      <c r="D555" t="s">
        <v>9</v>
      </c>
      <c r="E555" s="3">
        <v>300</v>
      </c>
      <c r="F555" s="4">
        <v>43959</v>
      </c>
      <c r="G555" s="2" t="s">
        <v>12</v>
      </c>
      <c r="N555">
        <v>37</v>
      </c>
      <c r="O555" t="str">
        <v>PROYECTO</v>
      </c>
      <c r="P555" t="str">
        <v>CLIENTE-0002</v>
      </c>
      <c r="Q555" t="str">
        <v>ALICANTE</v>
      </c>
      <c r="R555" s="10">
        <v>1200</v>
      </c>
      <c r="S555">
        <v>44489</v>
      </c>
      <c r="T555" t="str">
        <v>SI</v>
      </c>
      <c r="AN555">
        <v>553</v>
      </c>
      <c r="AO555" t="str">
        <v>EQUIPOS</v>
      </c>
      <c r="AP555" t="str">
        <v>CLIENTE-0010</v>
      </c>
      <c r="AQ555">
        <v>350</v>
      </c>
      <c r="AR555" t="str">
        <v>SI</v>
      </c>
    </row>
    <row r="556" spans="1:44">
      <c r="A556" s="2">
        <v>555</v>
      </c>
      <c r="B556" t="s">
        <v>20</v>
      </c>
      <c r="C556" t="s">
        <v>26</v>
      </c>
      <c r="D556" t="s">
        <v>9</v>
      </c>
      <c r="E556" s="3">
        <v>120</v>
      </c>
      <c r="F556" s="4">
        <v>44304</v>
      </c>
      <c r="G556" s="2" t="s">
        <v>12</v>
      </c>
      <c r="N556">
        <v>48</v>
      </c>
      <c r="O556" t="str">
        <v>DESARROLLO</v>
      </c>
      <c r="P556" t="str">
        <v>CLIENTE-0006</v>
      </c>
      <c r="Q556" t="str">
        <v>BARCELONA</v>
      </c>
      <c r="R556" s="10">
        <v>1200</v>
      </c>
      <c r="S556">
        <v>44423</v>
      </c>
      <c r="T556" t="str">
        <v>NO</v>
      </c>
      <c r="AN556">
        <v>554</v>
      </c>
      <c r="AO556" t="str">
        <v>PROGRAMA</v>
      </c>
      <c r="AP556" t="str">
        <v>CLIENTE-0001</v>
      </c>
      <c r="AQ556">
        <v>300</v>
      </c>
      <c r="AR556" t="str">
        <v>SI</v>
      </c>
    </row>
    <row r="557" spans="1:44">
      <c r="A557" s="2">
        <v>556</v>
      </c>
      <c r="B557" t="s">
        <v>22</v>
      </c>
      <c r="C557" t="s">
        <v>27</v>
      </c>
      <c r="D557" t="s">
        <v>9</v>
      </c>
      <c r="E557" s="3">
        <v>150</v>
      </c>
      <c r="F557" s="4">
        <v>43720</v>
      </c>
      <c r="G557" s="2" t="s">
        <v>12</v>
      </c>
      <c r="N557">
        <v>58</v>
      </c>
      <c r="O557" t="str">
        <v>FORMACION</v>
      </c>
      <c r="P557" t="str">
        <v>CLIENTE-0010</v>
      </c>
      <c r="Q557" t="str">
        <v>MADRID</v>
      </c>
      <c r="R557" s="10">
        <v>1200</v>
      </c>
      <c r="S557">
        <v>43660</v>
      </c>
      <c r="T557" t="str">
        <v>NO</v>
      </c>
      <c r="AN557">
        <v>555</v>
      </c>
      <c r="AO557" t="str">
        <v>FORMACION</v>
      </c>
      <c r="AP557" t="str">
        <v>CLIENTE-0010</v>
      </c>
      <c r="AQ557">
        <v>120</v>
      </c>
      <c r="AR557" t="str">
        <v>SI</v>
      </c>
    </row>
    <row r="558" spans="1:44">
      <c r="A558" s="2">
        <v>557</v>
      </c>
      <c r="B558" t="s">
        <v>10</v>
      </c>
      <c r="C558" t="s">
        <v>29</v>
      </c>
      <c r="D558" t="s">
        <v>24</v>
      </c>
      <c r="E558" s="3">
        <v>1200</v>
      </c>
      <c r="F558" s="4">
        <v>43774</v>
      </c>
      <c r="G558" s="2" t="s">
        <v>12</v>
      </c>
      <c r="N558">
        <v>70</v>
      </c>
      <c r="O558" t="str">
        <v>DESARROLLO</v>
      </c>
      <c r="P558" t="str">
        <v>CLIENTE-0010</v>
      </c>
      <c r="Q558" t="str">
        <v>MADRID</v>
      </c>
      <c r="R558" s="10">
        <v>1200</v>
      </c>
      <c r="S558">
        <v>43584</v>
      </c>
      <c r="T558" t="str">
        <v>SI</v>
      </c>
      <c r="AN558">
        <v>556</v>
      </c>
      <c r="AO558" t="str">
        <v>CONSULTORIA</v>
      </c>
      <c r="AP558" t="str">
        <v>CLIENTE-0001</v>
      </c>
      <c r="AQ558">
        <v>150</v>
      </c>
      <c r="AR558" t="str">
        <v>SI</v>
      </c>
    </row>
    <row r="559" spans="1:44">
      <c r="A559" s="2">
        <v>558</v>
      </c>
      <c r="B559" t="s">
        <v>13</v>
      </c>
      <c r="C559" t="s">
        <v>21</v>
      </c>
      <c r="D559" t="s">
        <v>9</v>
      </c>
      <c r="E559" s="3">
        <v>800</v>
      </c>
      <c r="F559" s="4">
        <v>43854</v>
      </c>
      <c r="G559" s="2" t="s">
        <v>12</v>
      </c>
      <c r="N559">
        <v>83</v>
      </c>
      <c r="O559" t="str">
        <v>PROYECTO</v>
      </c>
      <c r="P559" t="str">
        <v>CLIENTE-0003</v>
      </c>
      <c r="Q559" t="str">
        <v>MADRID</v>
      </c>
      <c r="R559" s="10">
        <v>1200</v>
      </c>
      <c r="S559">
        <v>44191</v>
      </c>
      <c r="T559" t="str">
        <v>SI</v>
      </c>
      <c r="AN559">
        <v>557</v>
      </c>
      <c r="AO559" t="str">
        <v>DESARROLLO</v>
      </c>
      <c r="AP559" t="str">
        <v>CLIENTE-0002</v>
      </c>
      <c r="AQ559">
        <v>1200</v>
      </c>
      <c r="AR559" t="str">
        <v>SI</v>
      </c>
    </row>
    <row r="560" spans="1:44">
      <c r="A560" s="2">
        <v>559</v>
      </c>
      <c r="B560" t="s">
        <v>16</v>
      </c>
      <c r="C560" t="s">
        <v>11</v>
      </c>
      <c r="D560" t="s">
        <v>9</v>
      </c>
      <c r="E560" s="3">
        <v>750</v>
      </c>
      <c r="F560" s="4">
        <v>44403</v>
      </c>
      <c r="G560" s="2" t="s">
        <v>12</v>
      </c>
      <c r="N560">
        <v>93</v>
      </c>
      <c r="O560" t="str">
        <v>FORMACION</v>
      </c>
      <c r="P560" t="str">
        <v>CLIENTE-0006</v>
      </c>
      <c r="Q560" t="str">
        <v>BARCELONA</v>
      </c>
      <c r="R560" s="10">
        <v>1200</v>
      </c>
      <c r="S560">
        <v>44020</v>
      </c>
      <c r="T560" t="str">
        <v>SI</v>
      </c>
      <c r="AN560">
        <v>558</v>
      </c>
      <c r="AO560" t="str">
        <v>PROYECTO</v>
      </c>
      <c r="AP560" t="str">
        <v>CLIENTE-0003</v>
      </c>
      <c r="AQ560">
        <v>800</v>
      </c>
      <c r="AR560" t="str">
        <v>SI</v>
      </c>
    </row>
    <row r="561" spans="1:44">
      <c r="A561" s="2">
        <v>560</v>
      </c>
      <c r="B561" t="s">
        <v>22</v>
      </c>
      <c r="C561" t="s">
        <v>14</v>
      </c>
      <c r="D561" t="s">
        <v>15</v>
      </c>
      <c r="E561" s="3">
        <v>4500</v>
      </c>
      <c r="F561" s="4">
        <v>44062</v>
      </c>
      <c r="G561" s="2" t="s">
        <v>12</v>
      </c>
      <c r="N561">
        <v>106</v>
      </c>
      <c r="O561" t="str">
        <v>PROYECTO</v>
      </c>
      <c r="P561" t="str">
        <v>CLIENTE-0001</v>
      </c>
      <c r="Q561" t="str">
        <v>MADRID</v>
      </c>
      <c r="R561" s="10">
        <v>1200</v>
      </c>
      <c r="S561">
        <v>43891</v>
      </c>
      <c r="T561" t="str">
        <v>SI</v>
      </c>
      <c r="AN561">
        <v>559</v>
      </c>
      <c r="AO561" t="str">
        <v>EQUIPOS</v>
      </c>
      <c r="AP561" t="str">
        <v>CLIENTE-0004</v>
      </c>
      <c r="AQ561">
        <v>750</v>
      </c>
      <c r="AR561" t="str">
        <v>SI</v>
      </c>
    </row>
    <row r="562" spans="1:44">
      <c r="A562" s="2">
        <v>561</v>
      </c>
      <c r="B562" t="s">
        <v>10</v>
      </c>
      <c r="C562" t="s">
        <v>17</v>
      </c>
      <c r="D562" t="s">
        <v>15</v>
      </c>
      <c r="E562" s="3">
        <v>500</v>
      </c>
      <c r="F562" s="4">
        <v>43641</v>
      </c>
      <c r="G562" s="2" t="s">
        <v>12</v>
      </c>
      <c r="N562">
        <v>117</v>
      </c>
      <c r="O562" t="str">
        <v>PROGRAMA</v>
      </c>
      <c r="P562" t="str">
        <v>CLIENTE-0005</v>
      </c>
      <c r="Q562" t="str">
        <v>BARCELONA</v>
      </c>
      <c r="R562" s="10">
        <v>1200</v>
      </c>
      <c r="S562">
        <v>44012</v>
      </c>
      <c r="T562" t="str">
        <v>NO</v>
      </c>
      <c r="AN562">
        <v>560</v>
      </c>
      <c r="AO562" t="str">
        <v>CONSULTORIA</v>
      </c>
      <c r="AP562" t="str">
        <v>CLIENTE-0005</v>
      </c>
      <c r="AQ562">
        <v>4500</v>
      </c>
      <c r="AR562" t="str">
        <v>SI</v>
      </c>
    </row>
    <row r="563" spans="1:44">
      <c r="A563" s="2">
        <v>562</v>
      </c>
      <c r="B563" t="s">
        <v>13</v>
      </c>
      <c r="C563" t="s">
        <v>19</v>
      </c>
      <c r="D563" t="s">
        <v>15</v>
      </c>
      <c r="E563" s="3">
        <v>750</v>
      </c>
      <c r="F563" s="4">
        <v>43701</v>
      </c>
      <c r="G563" s="2" t="s">
        <v>12</v>
      </c>
      <c r="N563">
        <v>127</v>
      </c>
      <c r="O563" t="str">
        <v>PROGRAMA</v>
      </c>
      <c r="P563" t="str">
        <v>CLIENTE-0002</v>
      </c>
      <c r="Q563" t="str">
        <v>ALICANTE</v>
      </c>
      <c r="R563" s="10">
        <v>1200</v>
      </c>
      <c r="S563">
        <v>43888</v>
      </c>
      <c r="T563" t="str">
        <v>SI</v>
      </c>
      <c r="AN563">
        <v>561</v>
      </c>
      <c r="AO563" t="str">
        <v>DESARROLLO</v>
      </c>
      <c r="AP563" t="str">
        <v>CLIENTE-0006</v>
      </c>
      <c r="AQ563">
        <v>500</v>
      </c>
      <c r="AR563" t="str">
        <v>SI</v>
      </c>
    </row>
    <row r="564" spans="1:44">
      <c r="A564" s="2">
        <v>563</v>
      </c>
      <c r="B564" t="s">
        <v>16</v>
      </c>
      <c r="C564" t="s">
        <v>23</v>
      </c>
      <c r="D564" t="s">
        <v>24</v>
      </c>
      <c r="E564" s="3">
        <v>950</v>
      </c>
      <c r="F564" s="4">
        <v>44278</v>
      </c>
      <c r="G564" s="2" t="s">
        <v>12</v>
      </c>
      <c r="N564">
        <v>139</v>
      </c>
      <c r="O564" t="str">
        <v>PROGRAMA</v>
      </c>
      <c r="P564" t="str">
        <v>CLIENTE-0007</v>
      </c>
      <c r="Q564" t="str">
        <v>BARCELONA</v>
      </c>
      <c r="R564" s="10">
        <v>1200</v>
      </c>
      <c r="S564">
        <v>44516</v>
      </c>
      <c r="T564" t="str">
        <v>NO</v>
      </c>
      <c r="AN564">
        <v>562</v>
      </c>
      <c r="AO564" t="str">
        <v>PROYECTO</v>
      </c>
      <c r="AP564" t="str">
        <v>CLIENTE-0007</v>
      </c>
      <c r="AQ564">
        <v>750</v>
      </c>
      <c r="AR564" t="str">
        <v>SI</v>
      </c>
    </row>
    <row r="565" spans="1:44">
      <c r="A565" s="2">
        <v>564</v>
      </c>
      <c r="B565" t="s">
        <v>18</v>
      </c>
      <c r="C565" t="s">
        <v>25</v>
      </c>
      <c r="D565" t="s">
        <v>24</v>
      </c>
      <c r="E565" s="3">
        <v>680</v>
      </c>
      <c r="F565" s="4">
        <v>44471</v>
      </c>
      <c r="G565" s="2" t="s">
        <v>12</v>
      </c>
      <c r="N565">
        <v>152</v>
      </c>
      <c r="O565" t="str">
        <v>FORMACION</v>
      </c>
      <c r="P565" t="str">
        <v>CLIENTE-0002</v>
      </c>
      <c r="Q565" t="str">
        <v>ALICANTE</v>
      </c>
      <c r="R565" s="10">
        <v>1200</v>
      </c>
      <c r="S565">
        <v>43544</v>
      </c>
      <c r="T565" t="str">
        <v>SI</v>
      </c>
      <c r="AN565">
        <v>563</v>
      </c>
      <c r="AO565" t="str">
        <v>EQUIPOS</v>
      </c>
      <c r="AP565" t="str">
        <v>CLIENTE-0008</v>
      </c>
      <c r="AQ565">
        <v>950</v>
      </c>
      <c r="AR565" t="str">
        <v>SI</v>
      </c>
    </row>
    <row r="566" spans="1:44">
      <c r="A566" s="2">
        <v>565</v>
      </c>
      <c r="B566" t="s">
        <v>20</v>
      </c>
      <c r="C566" t="s">
        <v>26</v>
      </c>
      <c r="D566" t="s">
        <v>9</v>
      </c>
      <c r="E566" s="3">
        <v>950</v>
      </c>
      <c r="F566" s="4">
        <v>44448</v>
      </c>
      <c r="G566" s="2" t="s">
        <v>12</v>
      </c>
      <c r="N566">
        <v>162</v>
      </c>
      <c r="O566" t="str">
        <v>FORMACION</v>
      </c>
      <c r="P566" t="str">
        <v>CLIENTE-0005</v>
      </c>
      <c r="Q566" t="str">
        <v>BARCELONA</v>
      </c>
      <c r="R566" s="10">
        <v>1200</v>
      </c>
      <c r="S566">
        <v>44326</v>
      </c>
      <c r="T566" t="str">
        <v>SI</v>
      </c>
      <c r="AN566">
        <v>564</v>
      </c>
      <c r="AO566" t="str">
        <v>PROGRAMA</v>
      </c>
      <c r="AP566" t="str">
        <v>CLIENTE-0009</v>
      </c>
      <c r="AQ566">
        <v>680</v>
      </c>
      <c r="AR566" t="str">
        <v>SI</v>
      </c>
    </row>
    <row r="567" spans="1:44">
      <c r="A567" s="2">
        <v>566</v>
      </c>
      <c r="B567" t="s">
        <v>22</v>
      </c>
      <c r="C567" t="s">
        <v>11</v>
      </c>
      <c r="D567" t="s">
        <v>9</v>
      </c>
      <c r="E567" s="3">
        <v>1500</v>
      </c>
      <c r="F567" s="4">
        <v>43646</v>
      </c>
      <c r="G567" s="2" t="s">
        <v>12</v>
      </c>
      <c r="N567">
        <v>175</v>
      </c>
      <c r="O567" t="str">
        <v>CONSULTORIA</v>
      </c>
      <c r="P567" t="str">
        <v>CLIENTE-0005</v>
      </c>
      <c r="Q567" t="str">
        <v>BARCELONA</v>
      </c>
      <c r="R567" s="10">
        <v>1200</v>
      </c>
      <c r="S567">
        <v>44145</v>
      </c>
      <c r="T567" t="str">
        <v>SI</v>
      </c>
      <c r="AN567">
        <v>565</v>
      </c>
      <c r="AO567" t="str">
        <v>FORMACION</v>
      </c>
      <c r="AP567" t="str">
        <v>CLIENTE-0010</v>
      </c>
      <c r="AQ567">
        <v>950</v>
      </c>
      <c r="AR567" t="str">
        <v>SI</v>
      </c>
    </row>
    <row r="568" spans="1:44">
      <c r="A568" s="2">
        <v>567</v>
      </c>
      <c r="B568" t="s">
        <v>10</v>
      </c>
      <c r="C568" t="s">
        <v>14</v>
      </c>
      <c r="D568" t="s">
        <v>15</v>
      </c>
      <c r="E568" s="3">
        <v>5000</v>
      </c>
      <c r="F568" s="4">
        <v>43767</v>
      </c>
      <c r="G568" s="2" t="s">
        <v>12</v>
      </c>
      <c r="N568">
        <v>186</v>
      </c>
      <c r="O568" t="str">
        <v>PROGRAMA</v>
      </c>
      <c r="P568" t="str">
        <v>CLIENTE-0008</v>
      </c>
      <c r="Q568" t="str">
        <v>ALICANTE</v>
      </c>
      <c r="R568" s="10">
        <v>1200</v>
      </c>
      <c r="S568">
        <v>44351</v>
      </c>
      <c r="T568" t="str">
        <v>NO</v>
      </c>
      <c r="AN568">
        <v>566</v>
      </c>
      <c r="AO568" t="str">
        <v>CONSULTORIA</v>
      </c>
      <c r="AP568" t="str">
        <v>CLIENTE-0004</v>
      </c>
      <c r="AQ568">
        <v>1500</v>
      </c>
      <c r="AR568" t="str">
        <v>SI</v>
      </c>
    </row>
    <row r="569" spans="1:44">
      <c r="A569" s="2">
        <v>568</v>
      </c>
      <c r="B569" t="s">
        <v>13</v>
      </c>
      <c r="C569" t="s">
        <v>14</v>
      </c>
      <c r="D569" t="s">
        <v>15</v>
      </c>
      <c r="E569" s="3">
        <v>6500</v>
      </c>
      <c r="F569" s="4">
        <v>44031</v>
      </c>
      <c r="G569" s="2" t="s">
        <v>12</v>
      </c>
      <c r="N569">
        <v>196</v>
      </c>
      <c r="O569" t="str">
        <v>PROGRAMA</v>
      </c>
      <c r="P569" t="str">
        <v>CLIENTE-0006</v>
      </c>
      <c r="Q569" t="str">
        <v>BARCELONA</v>
      </c>
      <c r="R569" s="10">
        <v>1200</v>
      </c>
      <c r="S569">
        <v>43869</v>
      </c>
      <c r="T569" t="str">
        <v>SI</v>
      </c>
      <c r="AN569">
        <v>567</v>
      </c>
      <c r="AO569" t="str">
        <v>DESARROLLO</v>
      </c>
      <c r="AP569" t="str">
        <v>CLIENTE-0005</v>
      </c>
      <c r="AQ569">
        <v>5000</v>
      </c>
      <c r="AR569" t="str">
        <v>SI</v>
      </c>
    </row>
    <row r="570" spans="1:44">
      <c r="A570" s="2">
        <v>569</v>
      </c>
      <c r="B570" t="s">
        <v>16</v>
      </c>
      <c r="C570" t="s">
        <v>17</v>
      </c>
      <c r="D570" t="s">
        <v>15</v>
      </c>
      <c r="E570" s="3">
        <v>1200</v>
      </c>
      <c r="F570" s="4">
        <v>44416</v>
      </c>
      <c r="G570" s="2" t="s">
        <v>12</v>
      </c>
      <c r="N570">
        <v>208</v>
      </c>
      <c r="O570" t="str">
        <v>DESARROLLO</v>
      </c>
      <c r="P570" t="str">
        <v>CLIENTE-0010</v>
      </c>
      <c r="Q570" t="str">
        <v>MADRID</v>
      </c>
      <c r="R570" s="10">
        <v>1200</v>
      </c>
      <c r="S570">
        <v>43960</v>
      </c>
      <c r="T570" t="str">
        <v>SI</v>
      </c>
      <c r="AN570">
        <v>568</v>
      </c>
      <c r="AO570" t="str">
        <v>PROYECTO</v>
      </c>
      <c r="AP570" t="str">
        <v>CLIENTE-0005</v>
      </c>
      <c r="AQ570">
        <v>6500</v>
      </c>
      <c r="AR570" t="str">
        <v>SI</v>
      </c>
    </row>
    <row r="571" spans="1:44">
      <c r="A571" s="2">
        <v>570</v>
      </c>
      <c r="B571" t="s">
        <v>18</v>
      </c>
      <c r="C571" t="s">
        <v>19</v>
      </c>
      <c r="D571" t="s">
        <v>15</v>
      </c>
      <c r="E571" s="3">
        <v>800</v>
      </c>
      <c r="F571" s="4">
        <v>43849</v>
      </c>
      <c r="G571" s="2" t="s">
        <v>12</v>
      </c>
      <c r="N571">
        <v>221</v>
      </c>
      <c r="O571" t="str">
        <v>PROGRAMA</v>
      </c>
      <c r="P571" t="str">
        <v>CLIENTE-0004</v>
      </c>
      <c r="Q571" t="str">
        <v>MADRID</v>
      </c>
      <c r="R571" s="10">
        <v>1200</v>
      </c>
      <c r="S571">
        <v>44418</v>
      </c>
      <c r="T571" t="str">
        <v>SI</v>
      </c>
      <c r="AN571">
        <v>569</v>
      </c>
      <c r="AO571" t="str">
        <v>EQUIPOS</v>
      </c>
      <c r="AP571" t="str">
        <v>CLIENTE-0006</v>
      </c>
      <c r="AQ571">
        <v>1200</v>
      </c>
      <c r="AR571" t="str">
        <v>SI</v>
      </c>
    </row>
    <row r="572" spans="1:44">
      <c r="A572" s="2">
        <v>571</v>
      </c>
      <c r="B572" t="s">
        <v>20</v>
      </c>
      <c r="C572" t="s">
        <v>23</v>
      </c>
      <c r="D572" t="s">
        <v>24</v>
      </c>
      <c r="E572" s="3">
        <v>750</v>
      </c>
      <c r="F572" s="4">
        <v>43547</v>
      </c>
      <c r="G572" s="2" t="s">
        <v>12</v>
      </c>
      <c r="N572">
        <v>231</v>
      </c>
      <c r="O572" t="str">
        <v>PROYECTO</v>
      </c>
      <c r="P572" t="str">
        <v>CLIENTE-0008</v>
      </c>
      <c r="Q572" t="str">
        <v>ALICANTE</v>
      </c>
      <c r="R572" s="10">
        <v>1200</v>
      </c>
      <c r="S572">
        <v>43959</v>
      </c>
      <c r="T572" t="str">
        <v>SI</v>
      </c>
      <c r="AN572">
        <v>570</v>
      </c>
      <c r="AO572" t="str">
        <v>PROGRAMA</v>
      </c>
      <c r="AP572" t="str">
        <v>CLIENTE-0007</v>
      </c>
      <c r="AQ572">
        <v>800</v>
      </c>
      <c r="AR572" t="str">
        <v>SI</v>
      </c>
    </row>
    <row r="573" spans="1:44">
      <c r="A573" s="2">
        <v>572</v>
      </c>
      <c r="B573" t="s">
        <v>22</v>
      </c>
      <c r="C573" t="s">
        <v>25</v>
      </c>
      <c r="D573" t="s">
        <v>24</v>
      </c>
      <c r="E573" s="3">
        <v>4500</v>
      </c>
      <c r="F573" s="4">
        <v>44391</v>
      </c>
      <c r="G573" s="2" t="s">
        <v>12</v>
      </c>
      <c r="N573">
        <v>244</v>
      </c>
      <c r="O573" t="str">
        <v>EQUIPOS</v>
      </c>
      <c r="P573" t="str">
        <v>CLIENTE-0009</v>
      </c>
      <c r="Q573" t="str">
        <v>ALICANTE</v>
      </c>
      <c r="R573" s="10">
        <v>1200</v>
      </c>
      <c r="S573">
        <v>44481</v>
      </c>
      <c r="T573" t="str">
        <v>SI</v>
      </c>
      <c r="AN573">
        <v>571</v>
      </c>
      <c r="AO573" t="str">
        <v>FORMACION</v>
      </c>
      <c r="AP573" t="str">
        <v>CLIENTE-0008</v>
      </c>
      <c r="AQ573">
        <v>750</v>
      </c>
      <c r="AR573" t="str">
        <v>SI</v>
      </c>
    </row>
    <row r="574" spans="1:44">
      <c r="A574" s="2">
        <v>573</v>
      </c>
      <c r="B574" t="s">
        <v>10</v>
      </c>
      <c r="C574" t="s">
        <v>26</v>
      </c>
      <c r="D574" t="s">
        <v>9</v>
      </c>
      <c r="E574" s="3">
        <v>500</v>
      </c>
      <c r="F574" s="4">
        <v>44089</v>
      </c>
      <c r="G574" s="2" t="s">
        <v>12</v>
      </c>
      <c r="N574">
        <v>255</v>
      </c>
      <c r="O574" t="str">
        <v>PROGRAMA</v>
      </c>
      <c r="P574" t="str">
        <v>CLIENTE-0010</v>
      </c>
      <c r="Q574" t="str">
        <v>MADRID</v>
      </c>
      <c r="R574" s="10">
        <v>1200</v>
      </c>
      <c r="S574">
        <v>44473</v>
      </c>
      <c r="T574" t="str">
        <v>NO</v>
      </c>
      <c r="AN574">
        <v>572</v>
      </c>
      <c r="AO574" t="str">
        <v>CONSULTORIA</v>
      </c>
      <c r="AP574" t="str">
        <v>CLIENTE-0009</v>
      </c>
      <c r="AQ574">
        <v>4500</v>
      </c>
      <c r="AR574" t="str">
        <v>SI</v>
      </c>
    </row>
    <row r="575" spans="1:44">
      <c r="A575" s="2">
        <v>574</v>
      </c>
      <c r="B575" t="s">
        <v>13</v>
      </c>
      <c r="C575" t="s">
        <v>27</v>
      </c>
      <c r="D575" t="s">
        <v>9</v>
      </c>
      <c r="E575" s="3">
        <v>750</v>
      </c>
      <c r="F575" s="4">
        <v>43521</v>
      </c>
      <c r="G575" s="2" t="s">
        <v>28</v>
      </c>
      <c r="N575">
        <v>265</v>
      </c>
      <c r="O575" t="str">
        <v>DESARROLLO</v>
      </c>
      <c r="P575" t="str">
        <v>CLIENTE-0010</v>
      </c>
      <c r="Q575" t="str">
        <v>MADRID</v>
      </c>
      <c r="R575" s="10">
        <v>1200</v>
      </c>
      <c r="S575">
        <v>44483</v>
      </c>
      <c r="T575" t="str">
        <v>SI</v>
      </c>
      <c r="AN575">
        <v>573</v>
      </c>
      <c r="AO575" t="str">
        <v>DESARROLLO</v>
      </c>
      <c r="AP575" t="str">
        <v>CLIENTE-0010</v>
      </c>
      <c r="AQ575">
        <v>500</v>
      </c>
      <c r="AR575" t="str">
        <v>SI</v>
      </c>
    </row>
    <row r="576" spans="1:44">
      <c r="A576" s="2">
        <v>575</v>
      </c>
      <c r="B576" t="s">
        <v>16</v>
      </c>
      <c r="C576" t="s">
        <v>26</v>
      </c>
      <c r="D576" t="s">
        <v>9</v>
      </c>
      <c r="E576" s="3">
        <v>950</v>
      </c>
      <c r="F576" s="4">
        <v>44153</v>
      </c>
      <c r="G576" s="2" t="s">
        <v>28</v>
      </c>
      <c r="N576">
        <v>287</v>
      </c>
      <c r="O576" t="str">
        <v>DESARROLLO</v>
      </c>
      <c r="P576" t="str">
        <v>CLIENTE-0010</v>
      </c>
      <c r="Q576" t="str">
        <v>MADRID</v>
      </c>
      <c r="R576" s="10">
        <v>1200</v>
      </c>
      <c r="S576">
        <v>44429</v>
      </c>
      <c r="T576" t="str">
        <v>SI</v>
      </c>
      <c r="AN576">
        <v>574</v>
      </c>
      <c r="AO576" t="str">
        <v>PROYECTO</v>
      </c>
      <c r="AP576" t="str">
        <v>CLIENTE-0001</v>
      </c>
      <c r="AQ576">
        <v>750</v>
      </c>
      <c r="AR576" t="str">
        <v>NO</v>
      </c>
    </row>
    <row r="577" spans="1:44">
      <c r="A577" s="2">
        <v>576</v>
      </c>
      <c r="B577" t="s">
        <v>18</v>
      </c>
      <c r="C577" t="s">
        <v>27</v>
      </c>
      <c r="D577" t="s">
        <v>9</v>
      </c>
      <c r="E577" s="3">
        <v>680</v>
      </c>
      <c r="F577" s="4">
        <v>44050</v>
      </c>
      <c r="G577" s="2" t="s">
        <v>28</v>
      </c>
      <c r="N577">
        <v>298</v>
      </c>
      <c r="O577" t="str">
        <v>EQUIPOS</v>
      </c>
      <c r="P577" t="str">
        <v>CLIENTE-0009</v>
      </c>
      <c r="Q577" t="str">
        <v>ALICANTE</v>
      </c>
      <c r="R577" s="10">
        <v>1200</v>
      </c>
      <c r="S577">
        <v>44122</v>
      </c>
      <c r="T577" t="str">
        <v>SI</v>
      </c>
      <c r="AN577">
        <v>575</v>
      </c>
      <c r="AO577" t="str">
        <v>EQUIPOS</v>
      </c>
      <c r="AP577" t="str">
        <v>CLIENTE-0010</v>
      </c>
      <c r="AQ577">
        <v>950</v>
      </c>
      <c r="AR577" t="str">
        <v>NO</v>
      </c>
    </row>
    <row r="578" spans="1:44">
      <c r="A578" s="2">
        <v>577</v>
      </c>
      <c r="B578" t="s">
        <v>20</v>
      </c>
      <c r="C578" t="s">
        <v>29</v>
      </c>
      <c r="D578" t="s">
        <v>24</v>
      </c>
      <c r="E578" s="3">
        <v>950</v>
      </c>
      <c r="F578" s="4">
        <v>44164</v>
      </c>
      <c r="G578" s="2" t="s">
        <v>28</v>
      </c>
      <c r="N578">
        <v>308</v>
      </c>
      <c r="O578" t="str">
        <v>EQUIPOS</v>
      </c>
      <c r="P578" t="str">
        <v>CLIENTE-0001</v>
      </c>
      <c r="Q578" t="str">
        <v>MADRID</v>
      </c>
      <c r="R578" s="10">
        <v>1200</v>
      </c>
      <c r="S578">
        <v>43769</v>
      </c>
      <c r="T578" t="str">
        <v>NO</v>
      </c>
      <c r="AN578">
        <v>576</v>
      </c>
      <c r="AO578" t="str">
        <v>PROGRAMA</v>
      </c>
      <c r="AP578" t="str">
        <v>CLIENTE-0001</v>
      </c>
      <c r="AQ578">
        <v>680</v>
      </c>
      <c r="AR578" t="str">
        <v>NO</v>
      </c>
    </row>
    <row r="579" spans="1:44">
      <c r="A579" s="2">
        <v>578</v>
      </c>
      <c r="B579" t="s">
        <v>22</v>
      </c>
      <c r="C579" t="s">
        <v>21</v>
      </c>
      <c r="D579" t="s">
        <v>9</v>
      </c>
      <c r="E579" s="3">
        <v>1500</v>
      </c>
      <c r="F579" s="4">
        <v>43700</v>
      </c>
      <c r="G579" s="2" t="s">
        <v>28</v>
      </c>
      <c r="N579">
        <v>320</v>
      </c>
      <c r="O579" t="str">
        <v>EQUIPOS</v>
      </c>
      <c r="P579" t="str">
        <v>CLIENTE-0004</v>
      </c>
      <c r="Q579" t="str">
        <v>MADRID</v>
      </c>
      <c r="R579" s="10">
        <v>1200</v>
      </c>
      <c r="S579">
        <v>44358</v>
      </c>
      <c r="T579" t="str">
        <v>NO</v>
      </c>
      <c r="AN579">
        <v>577</v>
      </c>
      <c r="AO579" t="str">
        <v>FORMACION</v>
      </c>
      <c r="AP579" t="str">
        <v>CLIENTE-0002</v>
      </c>
      <c r="AQ579">
        <v>950</v>
      </c>
      <c r="AR579" t="str">
        <v>NO</v>
      </c>
    </row>
    <row r="580" spans="1:44">
      <c r="A580" s="2">
        <v>579</v>
      </c>
      <c r="B580" t="s">
        <v>10</v>
      </c>
      <c r="C580" t="s">
        <v>11</v>
      </c>
      <c r="D580" t="s">
        <v>9</v>
      </c>
      <c r="E580" s="3">
        <v>5000</v>
      </c>
      <c r="F580" s="4">
        <v>44254</v>
      </c>
      <c r="G580" s="2" t="s">
        <v>28</v>
      </c>
      <c r="N580">
        <v>333</v>
      </c>
      <c r="O580" t="str">
        <v>CONSULTORIA</v>
      </c>
      <c r="P580" t="str">
        <v>CLIENTE-0004</v>
      </c>
      <c r="Q580" t="str">
        <v>MADRID</v>
      </c>
      <c r="R580" s="10">
        <v>1200</v>
      </c>
      <c r="S580">
        <v>43879</v>
      </c>
      <c r="T580" t="str">
        <v>SI</v>
      </c>
      <c r="AN580">
        <v>578</v>
      </c>
      <c r="AO580" t="str">
        <v>CONSULTORIA</v>
      </c>
      <c r="AP580" t="str">
        <v>CLIENTE-0003</v>
      </c>
      <c r="AQ580">
        <v>1500</v>
      </c>
      <c r="AR580" t="str">
        <v>NO</v>
      </c>
    </row>
    <row r="581" spans="1:44">
      <c r="A581" s="2">
        <v>580</v>
      </c>
      <c r="B581" t="s">
        <v>10</v>
      </c>
      <c r="C581" t="s">
        <v>14</v>
      </c>
      <c r="D581" t="s">
        <v>15</v>
      </c>
      <c r="E581" s="3">
        <v>6500</v>
      </c>
      <c r="F581" s="4">
        <v>43942</v>
      </c>
      <c r="G581" s="2" t="s">
        <v>28</v>
      </c>
      <c r="N581">
        <v>343</v>
      </c>
      <c r="O581" t="str">
        <v>PROGRAMA</v>
      </c>
      <c r="P581" t="str">
        <v>CLIENTE-0007</v>
      </c>
      <c r="Q581" t="str">
        <v>BARCELONA</v>
      </c>
      <c r="R581" s="10">
        <v>1200</v>
      </c>
      <c r="S581">
        <v>43881</v>
      </c>
      <c r="T581" t="str">
        <v>SI</v>
      </c>
      <c r="AN581">
        <v>579</v>
      </c>
      <c r="AO581" t="str">
        <v>DESARROLLO</v>
      </c>
      <c r="AP581" t="str">
        <v>CLIENTE-0004</v>
      </c>
      <c r="AQ581">
        <v>5000</v>
      </c>
      <c r="AR581" t="str">
        <v>NO</v>
      </c>
    </row>
    <row r="582" spans="1:44">
      <c r="A582" s="2">
        <v>581</v>
      </c>
      <c r="B582" t="s">
        <v>13</v>
      </c>
      <c r="C582" t="s">
        <v>17</v>
      </c>
      <c r="D582" t="s">
        <v>15</v>
      </c>
      <c r="E582" s="3">
        <v>8500</v>
      </c>
      <c r="F582" s="4">
        <v>44043</v>
      </c>
      <c r="G582" s="2" t="s">
        <v>12</v>
      </c>
      <c r="N582">
        <v>356</v>
      </c>
      <c r="O582" t="str">
        <v>CONSULTORIA</v>
      </c>
      <c r="P582" t="str">
        <v>CLIENTE-0002</v>
      </c>
      <c r="Q582" t="str">
        <v>ALICANTE</v>
      </c>
      <c r="R582" s="10">
        <v>1200</v>
      </c>
      <c r="S582">
        <v>44290</v>
      </c>
      <c r="T582" t="str">
        <v>SI</v>
      </c>
      <c r="AN582">
        <v>580</v>
      </c>
      <c r="AO582" t="str">
        <v>DESARROLLO</v>
      </c>
      <c r="AP582" t="str">
        <v>CLIENTE-0005</v>
      </c>
      <c r="AQ582">
        <v>6500</v>
      </c>
      <c r="AR582" t="str">
        <v>NO</v>
      </c>
    </row>
    <row r="583" spans="1:44">
      <c r="A583" s="2">
        <v>582</v>
      </c>
      <c r="B583" t="s">
        <v>16</v>
      </c>
      <c r="C583" t="s">
        <v>19</v>
      </c>
      <c r="D583" t="s">
        <v>15</v>
      </c>
      <c r="E583" s="3">
        <v>1200</v>
      </c>
      <c r="F583" s="4">
        <v>44387</v>
      </c>
      <c r="G583" s="2" t="s">
        <v>12</v>
      </c>
      <c r="N583">
        <v>367</v>
      </c>
      <c r="O583" t="str">
        <v>DESARROLLO</v>
      </c>
      <c r="P583" t="str">
        <v>CLIENTE-0005</v>
      </c>
      <c r="Q583" t="str">
        <v>BARCELONA</v>
      </c>
      <c r="R583" s="10">
        <v>1200</v>
      </c>
      <c r="S583">
        <v>44115</v>
      </c>
      <c r="T583" t="str">
        <v>SI</v>
      </c>
      <c r="AN583">
        <v>581</v>
      </c>
      <c r="AO583" t="str">
        <v>PROYECTO</v>
      </c>
      <c r="AP583" t="str">
        <v>CLIENTE-0006</v>
      </c>
      <c r="AQ583">
        <v>8500</v>
      </c>
      <c r="AR583" t="str">
        <v>SI</v>
      </c>
    </row>
    <row r="584" spans="1:44">
      <c r="A584" s="2">
        <v>583</v>
      </c>
      <c r="B584" t="s">
        <v>18</v>
      </c>
      <c r="C584" t="s">
        <v>23</v>
      </c>
      <c r="D584" t="s">
        <v>24</v>
      </c>
      <c r="E584" s="3">
        <v>300</v>
      </c>
      <c r="F584" s="4">
        <v>44371</v>
      </c>
      <c r="G584" s="2" t="s">
        <v>12</v>
      </c>
      <c r="N584">
        <v>375</v>
      </c>
      <c r="O584" t="str">
        <v>EQUIPOS</v>
      </c>
      <c r="P584" t="str">
        <v>CLIENTE-0001</v>
      </c>
      <c r="Q584" t="str">
        <v>MADRID</v>
      </c>
      <c r="R584" s="10">
        <v>1200</v>
      </c>
      <c r="S584">
        <v>44311</v>
      </c>
      <c r="T584" t="str">
        <v>SI</v>
      </c>
      <c r="AN584">
        <v>582</v>
      </c>
      <c r="AO584" t="str">
        <v>EQUIPOS</v>
      </c>
      <c r="AP584" t="str">
        <v>CLIENTE-0007</v>
      </c>
      <c r="AQ584">
        <v>1200</v>
      </c>
      <c r="AR584" t="str">
        <v>SI</v>
      </c>
    </row>
    <row r="585" spans="1:44">
      <c r="A585" s="2">
        <v>584</v>
      </c>
      <c r="B585" t="s">
        <v>20</v>
      </c>
      <c r="C585" t="s">
        <v>25</v>
      </c>
      <c r="D585" t="s">
        <v>24</v>
      </c>
      <c r="E585" s="3">
        <v>200</v>
      </c>
      <c r="F585" s="4">
        <v>44099</v>
      </c>
      <c r="G585" s="2" t="s">
        <v>12</v>
      </c>
      <c r="N585">
        <v>385</v>
      </c>
      <c r="O585" t="str">
        <v>DESARROLLO</v>
      </c>
      <c r="P585" t="str">
        <v>CLIENTE-0004</v>
      </c>
      <c r="Q585" t="str">
        <v>MADRID</v>
      </c>
      <c r="R585" s="10">
        <v>1200</v>
      </c>
      <c r="S585">
        <v>43625</v>
      </c>
      <c r="T585" t="str">
        <v>SI</v>
      </c>
      <c r="AN585">
        <v>583</v>
      </c>
      <c r="AO585" t="str">
        <v>PROGRAMA</v>
      </c>
      <c r="AP585" t="str">
        <v>CLIENTE-0008</v>
      </c>
      <c r="AQ585">
        <v>300</v>
      </c>
      <c r="AR585" t="str">
        <v>SI</v>
      </c>
    </row>
    <row r="586" spans="1:44">
      <c r="A586" s="2">
        <v>585</v>
      </c>
      <c r="B586" t="s">
        <v>22</v>
      </c>
      <c r="C586" t="s">
        <v>26</v>
      </c>
      <c r="D586" t="s">
        <v>9</v>
      </c>
      <c r="E586" s="3">
        <v>150</v>
      </c>
      <c r="F586" s="4">
        <v>43917</v>
      </c>
      <c r="G586" s="2" t="s">
        <v>12</v>
      </c>
      <c r="N586">
        <v>398</v>
      </c>
      <c r="O586" t="str">
        <v>PROGRAMA</v>
      </c>
      <c r="P586" t="str">
        <v>CLIENTE-0010</v>
      </c>
      <c r="Q586" t="str">
        <v>MADRID</v>
      </c>
      <c r="R586" s="10">
        <v>1200</v>
      </c>
      <c r="S586">
        <v>44214</v>
      </c>
      <c r="T586" t="str">
        <v>SI</v>
      </c>
      <c r="AN586">
        <v>584</v>
      </c>
      <c r="AO586" t="str">
        <v>FORMACION</v>
      </c>
      <c r="AP586" t="str">
        <v>CLIENTE-0009</v>
      </c>
      <c r="AQ586">
        <v>200</v>
      </c>
      <c r="AR586" t="str">
        <v>SI</v>
      </c>
    </row>
    <row r="587" spans="1:44">
      <c r="A587" s="2">
        <v>586</v>
      </c>
      <c r="B587" t="s">
        <v>10</v>
      </c>
      <c r="C587" t="s">
        <v>11</v>
      </c>
      <c r="D587" t="s">
        <v>9</v>
      </c>
      <c r="E587" s="3">
        <v>120</v>
      </c>
      <c r="F587" s="4">
        <v>44215</v>
      </c>
      <c r="G587" s="2" t="s">
        <v>12</v>
      </c>
      <c r="N587">
        <v>409</v>
      </c>
      <c r="O587" t="str">
        <v>EQUIPOS</v>
      </c>
      <c r="P587" t="str">
        <v>CLIENTE-0009</v>
      </c>
      <c r="Q587" t="str">
        <v>ALICANTE</v>
      </c>
      <c r="R587" s="10">
        <v>1200</v>
      </c>
      <c r="S587">
        <v>44467</v>
      </c>
      <c r="T587" t="str">
        <v>NO</v>
      </c>
      <c r="AN587">
        <v>585</v>
      </c>
      <c r="AO587" t="str">
        <v>CONSULTORIA</v>
      </c>
      <c r="AP587" t="str">
        <v>CLIENTE-0010</v>
      </c>
      <c r="AQ587">
        <v>150</v>
      </c>
      <c r="AR587" t="str">
        <v>SI</v>
      </c>
    </row>
    <row r="588" spans="1:44">
      <c r="A588" s="2">
        <v>587</v>
      </c>
      <c r="B588" t="s">
        <v>13</v>
      </c>
      <c r="C588" t="s">
        <v>14</v>
      </c>
      <c r="D588" t="s">
        <v>15</v>
      </c>
      <c r="E588" s="3">
        <v>300</v>
      </c>
      <c r="F588" s="4">
        <v>43893</v>
      </c>
      <c r="G588" s="2" t="s">
        <v>12</v>
      </c>
      <c r="N588">
        <v>419</v>
      </c>
      <c r="O588" t="str">
        <v>CONSULTORIA</v>
      </c>
      <c r="P588" t="str">
        <v>CLIENTE-0001</v>
      </c>
      <c r="Q588" t="str">
        <v>MADRID</v>
      </c>
      <c r="R588" s="10">
        <v>1200</v>
      </c>
      <c r="S588">
        <v>44155</v>
      </c>
      <c r="T588" t="str">
        <v>SI</v>
      </c>
      <c r="AN588">
        <v>586</v>
      </c>
      <c r="AO588" t="str">
        <v>DESARROLLO</v>
      </c>
      <c r="AP588" t="str">
        <v>CLIENTE-0004</v>
      </c>
      <c r="AQ588">
        <v>120</v>
      </c>
      <c r="AR588" t="str">
        <v>SI</v>
      </c>
    </row>
    <row r="589" spans="1:44">
      <c r="A589" s="2">
        <v>588</v>
      </c>
      <c r="B589" t="s">
        <v>16</v>
      </c>
      <c r="C589" t="s">
        <v>14</v>
      </c>
      <c r="D589" t="s">
        <v>15</v>
      </c>
      <c r="E589" s="3">
        <v>350</v>
      </c>
      <c r="F589" s="4">
        <v>44038</v>
      </c>
      <c r="G589" s="2" t="s">
        <v>12</v>
      </c>
      <c r="N589">
        <v>431</v>
      </c>
      <c r="O589" t="str">
        <v>PROYECTO</v>
      </c>
      <c r="P589" t="str">
        <v>CLIENTE-0004</v>
      </c>
      <c r="Q589" t="str">
        <v>MADRID</v>
      </c>
      <c r="R589" s="10">
        <v>1200</v>
      </c>
      <c r="S589">
        <v>43940</v>
      </c>
      <c r="T589" t="str">
        <v>SI</v>
      </c>
      <c r="AN589">
        <v>587</v>
      </c>
      <c r="AO589" t="str">
        <v>PROYECTO</v>
      </c>
      <c r="AP589" t="str">
        <v>CLIENTE-0005</v>
      </c>
      <c r="AQ589">
        <v>300</v>
      </c>
      <c r="AR589" t="str">
        <v>SI</v>
      </c>
    </row>
    <row r="590" spans="1:44">
      <c r="A590" s="2">
        <v>589</v>
      </c>
      <c r="B590" t="s">
        <v>18</v>
      </c>
      <c r="C590" t="s">
        <v>17</v>
      </c>
      <c r="D590" t="s">
        <v>15</v>
      </c>
      <c r="E590" s="3">
        <v>300</v>
      </c>
      <c r="F590" s="4">
        <v>44442</v>
      </c>
      <c r="G590" s="2" t="s">
        <v>12</v>
      </c>
      <c r="N590">
        <v>444</v>
      </c>
      <c r="O590" t="str">
        <v>CONSULTORIA</v>
      </c>
      <c r="P590" t="str">
        <v>CLIENTE-0001</v>
      </c>
      <c r="Q590" t="str">
        <v>MADRID</v>
      </c>
      <c r="R590" s="10">
        <v>1200</v>
      </c>
      <c r="S590">
        <v>44195</v>
      </c>
      <c r="T590" t="str">
        <v>SI</v>
      </c>
      <c r="AN590">
        <v>588</v>
      </c>
      <c r="AO590" t="str">
        <v>EQUIPOS</v>
      </c>
      <c r="AP590" t="str">
        <v>CLIENTE-0005</v>
      </c>
      <c r="AQ590">
        <v>350</v>
      </c>
      <c r="AR590" t="str">
        <v>SI</v>
      </c>
    </row>
    <row r="591" spans="1:44">
      <c r="A591" s="2">
        <v>590</v>
      </c>
      <c r="B591" t="s">
        <v>20</v>
      </c>
      <c r="C591" t="s">
        <v>19</v>
      </c>
      <c r="D591" t="s">
        <v>15</v>
      </c>
      <c r="E591" s="3">
        <v>120</v>
      </c>
      <c r="F591" s="4">
        <v>43588</v>
      </c>
      <c r="G591" s="2" t="s">
        <v>12</v>
      </c>
      <c r="N591">
        <v>454</v>
      </c>
      <c r="O591" t="str">
        <v>CONSULTORIA</v>
      </c>
      <c r="P591" t="str">
        <v>CLIENTE-0009</v>
      </c>
      <c r="Q591" t="str">
        <v>ALICANTE</v>
      </c>
      <c r="R591" s="10">
        <v>1200</v>
      </c>
      <c r="S591">
        <v>44421</v>
      </c>
      <c r="T591" t="str">
        <v>NO</v>
      </c>
      <c r="AN591">
        <v>589</v>
      </c>
      <c r="AO591" t="str">
        <v>PROGRAMA</v>
      </c>
      <c r="AP591" t="str">
        <v>CLIENTE-0006</v>
      </c>
      <c r="AQ591">
        <v>300</v>
      </c>
      <c r="AR591" t="str">
        <v>SI</v>
      </c>
    </row>
    <row r="592" spans="1:44">
      <c r="A592" s="2">
        <v>591</v>
      </c>
      <c r="B592" t="s">
        <v>22</v>
      </c>
      <c r="C592" t="s">
        <v>23</v>
      </c>
      <c r="D592" t="s">
        <v>24</v>
      </c>
      <c r="E592" s="3">
        <v>150</v>
      </c>
      <c r="F592" s="4">
        <v>43872</v>
      </c>
      <c r="G592" s="2" t="s">
        <v>12</v>
      </c>
      <c r="N592">
        <v>467</v>
      </c>
      <c r="O592" t="str">
        <v>DESARROLLO</v>
      </c>
      <c r="P592" t="str">
        <v>CLIENTE-0002</v>
      </c>
      <c r="Q592" t="str">
        <v>ALICANTE</v>
      </c>
      <c r="R592" s="10">
        <v>1200</v>
      </c>
      <c r="S592">
        <v>43964</v>
      </c>
      <c r="T592" t="str">
        <v>SI</v>
      </c>
      <c r="AN592">
        <v>590</v>
      </c>
      <c r="AO592" t="str">
        <v>FORMACION</v>
      </c>
      <c r="AP592" t="str">
        <v>CLIENTE-0007</v>
      </c>
      <c r="AQ592">
        <v>120</v>
      </c>
      <c r="AR592" t="str">
        <v>SI</v>
      </c>
    </row>
    <row r="593" spans="1:44">
      <c r="A593" s="2">
        <v>592</v>
      </c>
      <c r="B593" t="s">
        <v>10</v>
      </c>
      <c r="C593" t="s">
        <v>25</v>
      </c>
      <c r="D593" t="s">
        <v>24</v>
      </c>
      <c r="E593" s="3">
        <v>1200</v>
      </c>
      <c r="F593" s="4">
        <v>43567</v>
      </c>
      <c r="G593" s="2" t="s">
        <v>12</v>
      </c>
      <c r="N593">
        <v>478</v>
      </c>
      <c r="O593" t="str">
        <v>CONSULTORIA</v>
      </c>
      <c r="P593" t="str">
        <v>CLIENTE-0006</v>
      </c>
      <c r="Q593" t="str">
        <v>BARCELONA</v>
      </c>
      <c r="R593" s="10">
        <v>1200</v>
      </c>
      <c r="S593">
        <v>44131</v>
      </c>
      <c r="T593" t="str">
        <v>NO</v>
      </c>
      <c r="AN593">
        <v>591</v>
      </c>
      <c r="AO593" t="str">
        <v>CONSULTORIA</v>
      </c>
      <c r="AP593" t="str">
        <v>CLIENTE-0008</v>
      </c>
      <c r="AQ593">
        <v>150</v>
      </c>
      <c r="AR593" t="str">
        <v>SI</v>
      </c>
    </row>
    <row r="594" spans="1:44">
      <c r="A594" s="2">
        <v>593</v>
      </c>
      <c r="B594" t="s">
        <v>13</v>
      </c>
      <c r="C594" t="s">
        <v>26</v>
      </c>
      <c r="D594" t="s">
        <v>9</v>
      </c>
      <c r="E594" s="3">
        <v>800</v>
      </c>
      <c r="F594" s="4">
        <v>43923</v>
      </c>
      <c r="G594" s="2" t="s">
        <v>12</v>
      </c>
      <c r="N594">
        <v>488</v>
      </c>
      <c r="O594" t="str">
        <v>CONSULTORIA</v>
      </c>
      <c r="P594" t="str">
        <v>CLIENTE-0010</v>
      </c>
      <c r="Q594" t="str">
        <v>MADRID</v>
      </c>
      <c r="R594" s="10">
        <v>1200</v>
      </c>
      <c r="S594">
        <v>44345</v>
      </c>
      <c r="T594" t="str">
        <v>SI</v>
      </c>
      <c r="AN594">
        <v>592</v>
      </c>
      <c r="AO594" t="str">
        <v>DESARROLLO</v>
      </c>
      <c r="AP594" t="str">
        <v>CLIENTE-0009</v>
      </c>
      <c r="AQ594">
        <v>1200</v>
      </c>
      <c r="AR594" t="str">
        <v>SI</v>
      </c>
    </row>
    <row r="595" spans="1:44">
      <c r="A595" s="2">
        <v>594</v>
      </c>
      <c r="B595" t="s">
        <v>16</v>
      </c>
      <c r="C595" t="s">
        <v>27</v>
      </c>
      <c r="D595" t="s">
        <v>9</v>
      </c>
      <c r="E595" s="3">
        <v>750</v>
      </c>
      <c r="F595" s="4">
        <v>44502</v>
      </c>
      <c r="G595" s="2" t="s">
        <v>12</v>
      </c>
      <c r="N595">
        <v>500</v>
      </c>
      <c r="O595" t="str">
        <v>CONSULTORIA</v>
      </c>
      <c r="P595" t="str">
        <v>CLIENTE-0010</v>
      </c>
      <c r="Q595" t="str">
        <v>MADRID</v>
      </c>
      <c r="R595" s="10">
        <v>1200</v>
      </c>
      <c r="S595">
        <v>44361</v>
      </c>
      <c r="T595" t="str">
        <v>SI</v>
      </c>
      <c r="AN595">
        <v>593</v>
      </c>
      <c r="AO595" t="str">
        <v>PROYECTO</v>
      </c>
      <c r="AP595" t="str">
        <v>CLIENTE-0010</v>
      </c>
      <c r="AQ595">
        <v>800</v>
      </c>
      <c r="AR595" t="str">
        <v>SI</v>
      </c>
    </row>
    <row r="596" spans="1:44">
      <c r="A596" s="2">
        <v>595</v>
      </c>
      <c r="B596" t="s">
        <v>22</v>
      </c>
      <c r="C596" t="s">
        <v>26</v>
      </c>
      <c r="D596" t="s">
        <v>9</v>
      </c>
      <c r="E596" s="3">
        <v>4500</v>
      </c>
      <c r="F596" s="4">
        <v>44184</v>
      </c>
      <c r="G596" s="2" t="s">
        <v>12</v>
      </c>
      <c r="N596">
        <v>513</v>
      </c>
      <c r="O596" t="str">
        <v>CONSULTORIA</v>
      </c>
      <c r="P596" t="str">
        <v>CLIENTE-0003</v>
      </c>
      <c r="Q596" t="str">
        <v>MADRID</v>
      </c>
      <c r="R596" s="10">
        <v>1200</v>
      </c>
      <c r="S596">
        <v>43503</v>
      </c>
      <c r="T596" t="str">
        <v>SI</v>
      </c>
      <c r="AN596">
        <v>594</v>
      </c>
      <c r="AO596" t="str">
        <v>EQUIPOS</v>
      </c>
      <c r="AP596" t="str">
        <v>CLIENTE-0001</v>
      </c>
      <c r="AQ596">
        <v>750</v>
      </c>
      <c r="AR596" t="str">
        <v>SI</v>
      </c>
    </row>
    <row r="597" spans="1:44">
      <c r="A597" s="2">
        <v>596</v>
      </c>
      <c r="B597" t="s">
        <v>10</v>
      </c>
      <c r="C597" t="s">
        <v>27</v>
      </c>
      <c r="D597" t="s">
        <v>9</v>
      </c>
      <c r="E597" s="3">
        <v>500</v>
      </c>
      <c r="F597" s="4">
        <v>43853</v>
      </c>
      <c r="G597" s="2" t="s">
        <v>12</v>
      </c>
      <c r="N597">
        <v>523</v>
      </c>
      <c r="O597" t="str">
        <v>DESARROLLO</v>
      </c>
      <c r="P597" t="str">
        <v>CLIENTE-0006</v>
      </c>
      <c r="Q597" t="str">
        <v>BARCELONA</v>
      </c>
      <c r="R597" s="10">
        <v>1200</v>
      </c>
      <c r="S597">
        <v>44089</v>
      </c>
      <c r="T597" t="str">
        <v>SI</v>
      </c>
      <c r="AN597">
        <v>595</v>
      </c>
      <c r="AO597" t="str">
        <v>CONSULTORIA</v>
      </c>
      <c r="AP597" t="str">
        <v>CLIENTE-0010</v>
      </c>
      <c r="AQ597">
        <v>4500</v>
      </c>
      <c r="AR597" t="str">
        <v>SI</v>
      </c>
    </row>
    <row r="598" spans="1:44">
      <c r="A598" s="2">
        <v>597</v>
      </c>
      <c r="B598" t="s">
        <v>13</v>
      </c>
      <c r="C598" t="s">
        <v>29</v>
      </c>
      <c r="D598" t="s">
        <v>24</v>
      </c>
      <c r="E598" s="3">
        <v>750</v>
      </c>
      <c r="F598" s="4">
        <v>43734</v>
      </c>
      <c r="G598" s="2" t="s">
        <v>12</v>
      </c>
      <c r="N598">
        <v>536</v>
      </c>
      <c r="O598" t="str">
        <v>PROGRAMA</v>
      </c>
      <c r="P598" t="str">
        <v>CLIENTE-0001</v>
      </c>
      <c r="Q598" t="str">
        <v>MADRID</v>
      </c>
      <c r="R598" s="10">
        <v>1200</v>
      </c>
      <c r="S598">
        <v>43856</v>
      </c>
      <c r="T598" t="str">
        <v>NO</v>
      </c>
      <c r="AN598">
        <v>596</v>
      </c>
      <c r="AO598" t="str">
        <v>DESARROLLO</v>
      </c>
      <c r="AP598" t="str">
        <v>CLIENTE-0001</v>
      </c>
      <c r="AQ598">
        <v>500</v>
      </c>
      <c r="AR598" t="str">
        <v>SI</v>
      </c>
    </row>
    <row r="599" spans="1:44">
      <c r="A599" s="2">
        <v>598</v>
      </c>
      <c r="B599" t="s">
        <v>16</v>
      </c>
      <c r="C599" t="s">
        <v>21</v>
      </c>
      <c r="D599" t="s">
        <v>9</v>
      </c>
      <c r="E599" s="3">
        <v>950</v>
      </c>
      <c r="F599" s="4">
        <v>44347</v>
      </c>
      <c r="G599" s="2" t="s">
        <v>12</v>
      </c>
      <c r="N599">
        <v>547</v>
      </c>
      <c r="O599" t="str">
        <v>EQUIPOS</v>
      </c>
      <c r="P599" t="str">
        <v>CLIENTE-0005</v>
      </c>
      <c r="Q599" t="str">
        <v>BARCELONA</v>
      </c>
      <c r="R599" s="10">
        <v>1200</v>
      </c>
      <c r="S599">
        <v>44333</v>
      </c>
      <c r="T599" t="str">
        <v>NO</v>
      </c>
      <c r="AN599">
        <v>597</v>
      </c>
      <c r="AO599" t="str">
        <v>PROYECTO</v>
      </c>
      <c r="AP599" t="str">
        <v>CLIENTE-0002</v>
      </c>
      <c r="AQ599">
        <v>750</v>
      </c>
      <c r="AR599" t="str">
        <v>SI</v>
      </c>
    </row>
    <row r="600" spans="1:44">
      <c r="A600" s="2">
        <v>599</v>
      </c>
      <c r="B600" t="s">
        <v>18</v>
      </c>
      <c r="C600" t="s">
        <v>11</v>
      </c>
      <c r="D600" t="s">
        <v>9</v>
      </c>
      <c r="E600" s="3">
        <v>680</v>
      </c>
      <c r="F600" s="4">
        <v>44559</v>
      </c>
      <c r="G600" s="2" t="s">
        <v>12</v>
      </c>
      <c r="N600">
        <v>557</v>
      </c>
      <c r="O600" t="str">
        <v>DESARROLLO</v>
      </c>
      <c r="P600" t="str">
        <v>CLIENTE-0002</v>
      </c>
      <c r="Q600" t="str">
        <v>ALICANTE</v>
      </c>
      <c r="R600" s="10">
        <v>1200</v>
      </c>
      <c r="S600">
        <v>43774</v>
      </c>
      <c r="T600" t="str">
        <v>SI</v>
      </c>
      <c r="AN600">
        <v>598</v>
      </c>
      <c r="AO600" t="str">
        <v>EQUIPOS</v>
      </c>
      <c r="AP600" t="str">
        <v>CLIENTE-0003</v>
      </c>
      <c r="AQ600">
        <v>950</v>
      </c>
      <c r="AR600" t="str">
        <v>SI</v>
      </c>
    </row>
    <row r="601" spans="1:44">
      <c r="A601" s="2">
        <v>600</v>
      </c>
      <c r="B601" t="s">
        <v>20</v>
      </c>
      <c r="C601" t="s">
        <v>14</v>
      </c>
      <c r="D601" t="s">
        <v>15</v>
      </c>
      <c r="E601" s="3">
        <v>950</v>
      </c>
      <c r="F601" s="4">
        <v>44258</v>
      </c>
      <c r="G601" s="2" t="s">
        <v>12</v>
      </c>
      <c r="N601">
        <v>569</v>
      </c>
      <c r="O601" t="str">
        <v>EQUIPOS</v>
      </c>
      <c r="P601" t="str">
        <v>CLIENTE-0006</v>
      </c>
      <c r="Q601" t="str">
        <v>BARCELONA</v>
      </c>
      <c r="R601" s="10">
        <v>1200</v>
      </c>
      <c r="S601">
        <v>44416</v>
      </c>
      <c r="T601" t="str">
        <v>SI</v>
      </c>
      <c r="AN601">
        <v>599</v>
      </c>
      <c r="AO601" t="str">
        <v>PROGRAMA</v>
      </c>
      <c r="AP601" t="str">
        <v>CLIENTE-0004</v>
      </c>
      <c r="AQ601">
        <v>680</v>
      </c>
      <c r="AR601" t="str">
        <v>SI</v>
      </c>
    </row>
    <row r="602" spans="1:44">
      <c r="A602" s="2">
        <v>601</v>
      </c>
      <c r="B602" t="s">
        <v>22</v>
      </c>
      <c r="C602" t="s">
        <v>17</v>
      </c>
      <c r="D602" t="s">
        <v>15</v>
      </c>
      <c r="E602" s="3">
        <v>1500</v>
      </c>
      <c r="F602" s="4">
        <v>44354</v>
      </c>
      <c r="G602" s="2" t="s">
        <v>12</v>
      </c>
      <c r="N602">
        <v>582</v>
      </c>
      <c r="O602" t="str">
        <v>EQUIPOS</v>
      </c>
      <c r="P602" t="str">
        <v>CLIENTE-0007</v>
      </c>
      <c r="Q602" t="str">
        <v>BARCELONA</v>
      </c>
      <c r="R602" s="10">
        <v>1200</v>
      </c>
      <c r="S602">
        <v>44387</v>
      </c>
      <c r="T602" t="str">
        <v>SI</v>
      </c>
      <c r="AN602">
        <v>600</v>
      </c>
      <c r="AO602" t="str">
        <v>FORMACION</v>
      </c>
      <c r="AP602" t="str">
        <v>CLIENTE-0005</v>
      </c>
      <c r="AQ602">
        <v>950</v>
      </c>
      <c r="AR602" t="str">
        <v>SI</v>
      </c>
    </row>
    <row r="603" spans="1:44">
      <c r="A603" s="2">
        <v>602</v>
      </c>
      <c r="B603" t="s">
        <v>10</v>
      </c>
      <c r="C603" t="s">
        <v>19</v>
      </c>
      <c r="D603" t="s">
        <v>15</v>
      </c>
      <c r="E603" s="3">
        <v>5000</v>
      </c>
      <c r="F603" s="4">
        <v>43542</v>
      </c>
      <c r="G603" s="2" t="s">
        <v>12</v>
      </c>
      <c r="N603">
        <v>592</v>
      </c>
      <c r="O603" t="str">
        <v>DESARROLLO</v>
      </c>
      <c r="P603" t="str">
        <v>CLIENTE-0009</v>
      </c>
      <c r="Q603" t="str">
        <v>ALICANTE</v>
      </c>
      <c r="R603" s="10">
        <v>1200</v>
      </c>
      <c r="S603">
        <v>43567</v>
      </c>
      <c r="T603" t="str">
        <v>SI</v>
      </c>
      <c r="AN603">
        <v>601</v>
      </c>
      <c r="AO603" t="str">
        <v>CONSULTORIA</v>
      </c>
      <c r="AP603" t="str">
        <v>CLIENTE-0006</v>
      </c>
      <c r="AQ603">
        <v>1500</v>
      </c>
      <c r="AR603" t="str">
        <v>SI</v>
      </c>
    </row>
    <row r="604" spans="1:44">
      <c r="A604" s="2">
        <v>603</v>
      </c>
      <c r="B604" t="s">
        <v>13</v>
      </c>
      <c r="C604" t="s">
        <v>23</v>
      </c>
      <c r="D604" t="s">
        <v>24</v>
      </c>
      <c r="E604" s="3">
        <v>6500</v>
      </c>
      <c r="F604" s="4">
        <v>43504</v>
      </c>
      <c r="G604" s="2" t="s">
        <v>28</v>
      </c>
      <c r="N604">
        <v>605</v>
      </c>
      <c r="O604" t="str">
        <v>PROGRAMA</v>
      </c>
      <c r="P604" t="str">
        <v>CLIENTE-0010</v>
      </c>
      <c r="Q604" t="str">
        <v>MADRID</v>
      </c>
      <c r="R604" s="10">
        <v>1200</v>
      </c>
      <c r="S604">
        <v>44332</v>
      </c>
      <c r="T604" t="str">
        <v>NO</v>
      </c>
      <c r="AN604">
        <v>602</v>
      </c>
      <c r="AO604" t="str">
        <v>DESARROLLO</v>
      </c>
      <c r="AP604" t="str">
        <v>CLIENTE-0007</v>
      </c>
      <c r="AQ604">
        <v>5000</v>
      </c>
      <c r="AR604" t="str">
        <v>SI</v>
      </c>
    </row>
    <row r="605" spans="1:44">
      <c r="A605" s="2">
        <v>604</v>
      </c>
      <c r="B605" t="s">
        <v>16</v>
      </c>
      <c r="C605" t="s">
        <v>25</v>
      </c>
      <c r="D605" t="s">
        <v>24</v>
      </c>
      <c r="E605" s="3">
        <v>8500</v>
      </c>
      <c r="F605" s="4">
        <v>44206</v>
      </c>
      <c r="G605" s="2" t="s">
        <v>28</v>
      </c>
      <c r="N605">
        <v>616</v>
      </c>
      <c r="O605" t="str">
        <v>PROYECTO</v>
      </c>
      <c r="P605" t="str">
        <v>CLIENTE-0008</v>
      </c>
      <c r="Q605" t="str">
        <v>ALICANTE</v>
      </c>
      <c r="R605" s="10">
        <v>1200</v>
      </c>
      <c r="S605">
        <v>43820</v>
      </c>
      <c r="T605" t="str">
        <v>SI</v>
      </c>
      <c r="AN605">
        <v>603</v>
      </c>
      <c r="AO605" t="str">
        <v>PROYECTO</v>
      </c>
      <c r="AP605" t="str">
        <v>CLIENTE-0008</v>
      </c>
      <c r="AQ605">
        <v>6500</v>
      </c>
      <c r="AR605" t="str">
        <v>NO</v>
      </c>
    </row>
    <row r="606" spans="1:44">
      <c r="A606" s="2">
        <v>605</v>
      </c>
      <c r="B606" t="s">
        <v>18</v>
      </c>
      <c r="C606" t="s">
        <v>26</v>
      </c>
      <c r="D606" t="s">
        <v>9</v>
      </c>
      <c r="E606" s="3">
        <v>1200</v>
      </c>
      <c r="F606" s="4">
        <v>44332</v>
      </c>
      <c r="G606" s="2" t="s">
        <v>28</v>
      </c>
      <c r="N606">
        <v>626</v>
      </c>
      <c r="O606" t="str">
        <v>CONSULTORIA</v>
      </c>
      <c r="P606" t="str">
        <v>CLIENTE-0006</v>
      </c>
      <c r="Q606" t="str">
        <v>BARCELONA</v>
      </c>
      <c r="R606" s="10">
        <v>1200</v>
      </c>
      <c r="S606">
        <v>44067</v>
      </c>
      <c r="T606" t="str">
        <v>SI</v>
      </c>
      <c r="AN606">
        <v>604</v>
      </c>
      <c r="AO606" t="str">
        <v>EQUIPOS</v>
      </c>
      <c r="AP606" t="str">
        <v>CLIENTE-0009</v>
      </c>
      <c r="AQ606">
        <v>8500</v>
      </c>
      <c r="AR606" t="str">
        <v>NO</v>
      </c>
    </row>
    <row r="607" spans="1:44">
      <c r="A607" s="2">
        <v>606</v>
      </c>
      <c r="B607" t="s">
        <v>13</v>
      </c>
      <c r="C607" t="s">
        <v>11</v>
      </c>
      <c r="D607" t="s">
        <v>9</v>
      </c>
      <c r="E607" s="3">
        <v>300</v>
      </c>
      <c r="F607" s="4">
        <v>43592</v>
      </c>
      <c r="G607" s="2" t="s">
        <v>28</v>
      </c>
      <c r="N607">
        <v>636</v>
      </c>
      <c r="O607" t="str">
        <v>PROGRAMA</v>
      </c>
      <c r="P607" t="str">
        <v>CLIENTE-0008</v>
      </c>
      <c r="Q607" t="str">
        <v>ALICANTE</v>
      </c>
      <c r="R607" s="10">
        <v>1200</v>
      </c>
      <c r="S607">
        <v>43870</v>
      </c>
      <c r="T607" t="str">
        <v>SI</v>
      </c>
      <c r="AN607">
        <v>605</v>
      </c>
      <c r="AO607" t="str">
        <v>PROGRAMA</v>
      </c>
      <c r="AP607" t="str">
        <v>CLIENTE-0010</v>
      </c>
      <c r="AQ607">
        <v>1200</v>
      </c>
      <c r="AR607" t="str">
        <v>NO</v>
      </c>
    </row>
    <row r="608" spans="1:44">
      <c r="A608" s="2">
        <v>607</v>
      </c>
      <c r="B608" t="s">
        <v>16</v>
      </c>
      <c r="C608" t="s">
        <v>14</v>
      </c>
      <c r="D608" t="s">
        <v>15</v>
      </c>
      <c r="E608" s="3">
        <v>200</v>
      </c>
      <c r="F608" s="4">
        <v>43924</v>
      </c>
      <c r="G608" s="2" t="s">
        <v>28</v>
      </c>
      <c r="N608">
        <v>649</v>
      </c>
      <c r="O608" t="str">
        <v>DESARROLLO</v>
      </c>
      <c r="P608" t="str">
        <v>CLIENTE-0009</v>
      </c>
      <c r="Q608" t="str">
        <v>ALICANTE</v>
      </c>
      <c r="R608" s="10">
        <v>1200</v>
      </c>
      <c r="S608">
        <v>43468</v>
      </c>
      <c r="T608" t="str">
        <v>NO</v>
      </c>
      <c r="AN608">
        <v>606</v>
      </c>
      <c r="AO608" t="str">
        <v>PROYECTO</v>
      </c>
      <c r="AP608" t="str">
        <v>CLIENTE-0004</v>
      </c>
      <c r="AQ608">
        <v>300</v>
      </c>
      <c r="AR608" t="str">
        <v>NO</v>
      </c>
    </row>
    <row r="609" spans="1:44">
      <c r="A609" s="2">
        <v>608</v>
      </c>
      <c r="B609" t="s">
        <v>18</v>
      </c>
      <c r="C609" t="s">
        <v>17</v>
      </c>
      <c r="D609" t="s">
        <v>15</v>
      </c>
      <c r="E609" s="3">
        <v>150</v>
      </c>
      <c r="F609" s="4">
        <v>43497</v>
      </c>
      <c r="G609" s="2" t="s">
        <v>28</v>
      </c>
      <c r="N609">
        <v>660</v>
      </c>
      <c r="O609" t="str">
        <v>CONSULTORIA</v>
      </c>
      <c r="P609" t="str">
        <v>CLIENTE-0005</v>
      </c>
      <c r="Q609" t="str">
        <v>BARCELONA</v>
      </c>
      <c r="R609" s="10">
        <v>1200</v>
      </c>
      <c r="S609">
        <v>44222</v>
      </c>
      <c r="T609" t="str">
        <v>SI</v>
      </c>
      <c r="AN609">
        <v>607</v>
      </c>
      <c r="AO609" t="str">
        <v>EQUIPOS</v>
      </c>
      <c r="AP609" t="str">
        <v>CLIENTE-0005</v>
      </c>
      <c r="AQ609">
        <v>200</v>
      </c>
      <c r="AR609" t="str">
        <v>NO</v>
      </c>
    </row>
    <row r="610" spans="1:44">
      <c r="A610" s="2">
        <v>609</v>
      </c>
      <c r="B610" t="s">
        <v>20</v>
      </c>
      <c r="C610" t="s">
        <v>19</v>
      </c>
      <c r="D610" t="s">
        <v>15</v>
      </c>
      <c r="E610" s="3">
        <v>120</v>
      </c>
      <c r="F610" s="4">
        <v>43874</v>
      </c>
      <c r="G610" s="2" t="s">
        <v>28</v>
      </c>
      <c r="N610">
        <v>668</v>
      </c>
      <c r="O610" t="str">
        <v>EQUIPOS</v>
      </c>
      <c r="P610" t="str">
        <v>CLIENTE-0001</v>
      </c>
      <c r="Q610" t="str">
        <v>MADRID</v>
      </c>
      <c r="R610" s="10">
        <v>1200</v>
      </c>
      <c r="S610">
        <v>43517</v>
      </c>
      <c r="T610" t="str">
        <v>SI</v>
      </c>
      <c r="AN610">
        <v>608</v>
      </c>
      <c r="AO610" t="str">
        <v>PROGRAMA</v>
      </c>
      <c r="AP610" t="str">
        <v>CLIENTE-0006</v>
      </c>
      <c r="AQ610">
        <v>150</v>
      </c>
      <c r="AR610" t="str">
        <v>NO</v>
      </c>
    </row>
    <row r="611" spans="1:44">
      <c r="A611" s="2">
        <v>610</v>
      </c>
      <c r="B611" t="s">
        <v>22</v>
      </c>
      <c r="C611" t="s">
        <v>21</v>
      </c>
      <c r="D611" t="s">
        <v>9</v>
      </c>
      <c r="E611" s="3">
        <v>300</v>
      </c>
      <c r="F611" s="4">
        <v>43872</v>
      </c>
      <c r="G611" s="2" t="s">
        <v>12</v>
      </c>
      <c r="N611">
        <v>678</v>
      </c>
      <c r="O611" t="str">
        <v>DESARROLLO</v>
      </c>
      <c r="P611" t="str">
        <v>CLIENTE-0004</v>
      </c>
      <c r="Q611" t="str">
        <v>MADRID</v>
      </c>
      <c r="R611" s="10">
        <v>1200</v>
      </c>
      <c r="S611">
        <v>43468</v>
      </c>
      <c r="T611" t="str">
        <v>SI</v>
      </c>
      <c r="AN611">
        <v>609</v>
      </c>
      <c r="AO611" t="str">
        <v>FORMACION</v>
      </c>
      <c r="AP611" t="str">
        <v>CLIENTE-0007</v>
      </c>
      <c r="AQ611">
        <v>120</v>
      </c>
      <c r="AR611" t="str">
        <v>NO</v>
      </c>
    </row>
    <row r="612" spans="1:44">
      <c r="A612" s="2">
        <v>611</v>
      </c>
      <c r="B612" t="s">
        <v>10</v>
      </c>
      <c r="C612" t="s">
        <v>11</v>
      </c>
      <c r="D612" t="s">
        <v>9</v>
      </c>
      <c r="E612" s="3">
        <v>350</v>
      </c>
      <c r="F612" s="4">
        <v>43742</v>
      </c>
      <c r="G612" s="2" t="s">
        <v>12</v>
      </c>
      <c r="N612">
        <v>691</v>
      </c>
      <c r="O612" t="str">
        <v>PROYECTO</v>
      </c>
      <c r="P612" t="str">
        <v>CLIENTE-0001</v>
      </c>
      <c r="Q612" t="str">
        <v>MADRID</v>
      </c>
      <c r="R612" s="10">
        <v>1200</v>
      </c>
      <c r="S612">
        <v>44476</v>
      </c>
      <c r="T612" t="str">
        <v>SI</v>
      </c>
      <c r="AN612">
        <v>610</v>
      </c>
      <c r="AO612" t="str">
        <v>CONSULTORIA</v>
      </c>
      <c r="AP612" t="str">
        <v>CLIENTE-0003</v>
      </c>
      <c r="AQ612">
        <v>300</v>
      </c>
      <c r="AR612" t="str">
        <v>SI</v>
      </c>
    </row>
    <row r="613" spans="1:44">
      <c r="A613" s="2">
        <v>612</v>
      </c>
      <c r="B613" t="s">
        <v>13</v>
      </c>
      <c r="C613" t="s">
        <v>14</v>
      </c>
      <c r="D613" t="s">
        <v>15</v>
      </c>
      <c r="E613" s="3">
        <v>300</v>
      </c>
      <c r="F613" s="4">
        <v>44184</v>
      </c>
      <c r="G613" s="2" t="s">
        <v>12</v>
      </c>
      <c r="N613">
        <v>702</v>
      </c>
      <c r="O613" t="str">
        <v>DESARROLLO</v>
      </c>
      <c r="P613" t="str">
        <v>CLIENTE-0010</v>
      </c>
      <c r="Q613" t="str">
        <v>MADRID</v>
      </c>
      <c r="R613" s="10">
        <v>1200</v>
      </c>
      <c r="S613">
        <v>44025</v>
      </c>
      <c r="T613" t="str">
        <v>NO</v>
      </c>
      <c r="AN613">
        <v>611</v>
      </c>
      <c r="AO613" t="str">
        <v>DESARROLLO</v>
      </c>
      <c r="AP613" t="str">
        <v>CLIENTE-0004</v>
      </c>
      <c r="AQ613">
        <v>350</v>
      </c>
      <c r="AR613" t="str">
        <v>SI</v>
      </c>
    </row>
    <row r="614" spans="1:44">
      <c r="A614" s="2">
        <v>613</v>
      </c>
      <c r="B614" t="s">
        <v>16</v>
      </c>
      <c r="C614" t="s">
        <v>14</v>
      </c>
      <c r="D614" t="s">
        <v>15</v>
      </c>
      <c r="E614" s="3">
        <v>120</v>
      </c>
      <c r="F614" s="4">
        <v>44302</v>
      </c>
      <c r="G614" s="2" t="s">
        <v>12</v>
      </c>
      <c r="N614">
        <v>712</v>
      </c>
      <c r="O614" t="str">
        <v>DESARROLLO</v>
      </c>
      <c r="P614" t="str">
        <v>CLIENTE-0010</v>
      </c>
      <c r="Q614" t="str">
        <v>MADRID</v>
      </c>
      <c r="R614" s="10">
        <v>1200</v>
      </c>
      <c r="S614">
        <v>43516</v>
      </c>
      <c r="T614" t="str">
        <v>SI</v>
      </c>
      <c r="AN614">
        <v>612</v>
      </c>
      <c r="AO614" t="str">
        <v>PROYECTO</v>
      </c>
      <c r="AP614" t="str">
        <v>CLIENTE-0005</v>
      </c>
      <c r="AQ614">
        <v>300</v>
      </c>
      <c r="AR614" t="str">
        <v>SI</v>
      </c>
    </row>
    <row r="615" spans="1:44">
      <c r="A615" s="2">
        <v>614</v>
      </c>
      <c r="B615" t="s">
        <v>22</v>
      </c>
      <c r="C615" t="s">
        <v>17</v>
      </c>
      <c r="D615" t="s">
        <v>15</v>
      </c>
      <c r="E615" s="3">
        <v>150</v>
      </c>
      <c r="F615" s="4">
        <v>43845</v>
      </c>
      <c r="G615" s="2" t="s">
        <v>12</v>
      </c>
      <c r="N615">
        <v>724</v>
      </c>
      <c r="O615" t="str">
        <v>DESARROLLO</v>
      </c>
      <c r="P615" t="str">
        <v>CLIENTE-0010</v>
      </c>
      <c r="Q615" t="str">
        <v>MADRID</v>
      </c>
      <c r="R615" s="10">
        <v>1200</v>
      </c>
      <c r="S615">
        <v>43512</v>
      </c>
      <c r="T615" t="str">
        <v>SI</v>
      </c>
      <c r="AN615">
        <v>613</v>
      </c>
      <c r="AO615" t="str">
        <v>EQUIPOS</v>
      </c>
      <c r="AP615" t="str">
        <v>CLIENTE-0005</v>
      </c>
      <c r="AQ615">
        <v>120</v>
      </c>
      <c r="AR615" t="str">
        <v>SI</v>
      </c>
    </row>
    <row r="616" spans="1:44">
      <c r="A616" s="2">
        <v>615</v>
      </c>
      <c r="B616" t="s">
        <v>10</v>
      </c>
      <c r="C616" t="s">
        <v>19</v>
      </c>
      <c r="D616" t="s">
        <v>15</v>
      </c>
      <c r="E616" s="3">
        <v>8500</v>
      </c>
      <c r="F616" s="4">
        <v>44036</v>
      </c>
      <c r="G616" s="2" t="s">
        <v>12</v>
      </c>
      <c r="N616">
        <v>733</v>
      </c>
      <c r="O616" t="str">
        <v>EQUIPOS</v>
      </c>
      <c r="P616" t="str">
        <v>CLIENTE-0009</v>
      </c>
      <c r="Q616" t="str">
        <v>ALICANTE</v>
      </c>
      <c r="R616" s="10">
        <v>1200</v>
      </c>
      <c r="S616">
        <v>44209</v>
      </c>
      <c r="T616" t="str">
        <v>SI</v>
      </c>
      <c r="AN616">
        <v>614</v>
      </c>
      <c r="AO616" t="str">
        <v>CONSULTORIA</v>
      </c>
      <c r="AP616" t="str">
        <v>CLIENTE-0006</v>
      </c>
      <c r="AQ616">
        <v>150</v>
      </c>
      <c r="AR616" t="str">
        <v>SI</v>
      </c>
    </row>
    <row r="617" spans="1:44">
      <c r="A617" s="2">
        <v>616</v>
      </c>
      <c r="B617" t="s">
        <v>13</v>
      </c>
      <c r="C617" t="s">
        <v>23</v>
      </c>
      <c r="D617" t="s">
        <v>24</v>
      </c>
      <c r="E617" s="3">
        <v>1200</v>
      </c>
      <c r="F617" s="4">
        <v>43820</v>
      </c>
      <c r="G617" s="2" t="s">
        <v>12</v>
      </c>
      <c r="N617">
        <v>743</v>
      </c>
      <c r="O617" t="str">
        <v>DESARROLLO</v>
      </c>
      <c r="P617" t="str">
        <v>CLIENTE-0003</v>
      </c>
      <c r="Q617" t="str">
        <v>MADRID</v>
      </c>
      <c r="R617" s="10">
        <v>1200</v>
      </c>
      <c r="S617">
        <v>43576</v>
      </c>
      <c r="T617" t="str">
        <v>NO</v>
      </c>
      <c r="AN617">
        <v>615</v>
      </c>
      <c r="AO617" t="str">
        <v>DESARROLLO</v>
      </c>
      <c r="AP617" t="str">
        <v>CLIENTE-0007</v>
      </c>
      <c r="AQ617">
        <v>8500</v>
      </c>
      <c r="AR617" t="str">
        <v>SI</v>
      </c>
    </row>
    <row r="618" spans="1:44">
      <c r="A618" s="2">
        <v>617</v>
      </c>
      <c r="B618" t="s">
        <v>16</v>
      </c>
      <c r="C618" t="s">
        <v>25</v>
      </c>
      <c r="D618" t="s">
        <v>24</v>
      </c>
      <c r="E618" s="3">
        <v>300</v>
      </c>
      <c r="F618" s="4">
        <v>44012</v>
      </c>
      <c r="G618" s="2" t="s">
        <v>28</v>
      </c>
      <c r="N618">
        <v>756</v>
      </c>
      <c r="O618" t="str">
        <v>PROGRAMA</v>
      </c>
      <c r="P618" t="str">
        <v>CLIENTE-0003</v>
      </c>
      <c r="Q618" t="str">
        <v>MADRID</v>
      </c>
      <c r="R618" s="10">
        <v>1200</v>
      </c>
      <c r="S618">
        <v>43501</v>
      </c>
      <c r="T618" t="str">
        <v>NO</v>
      </c>
      <c r="AN618">
        <v>616</v>
      </c>
      <c r="AO618" t="str">
        <v>PROYECTO</v>
      </c>
      <c r="AP618" t="str">
        <v>CLIENTE-0008</v>
      </c>
      <c r="AQ618">
        <v>1200</v>
      </c>
      <c r="AR618" t="str">
        <v>SI</v>
      </c>
    </row>
    <row r="619" spans="1:44">
      <c r="A619" s="2">
        <v>618</v>
      </c>
      <c r="B619" t="s">
        <v>18</v>
      </c>
      <c r="C619" t="s">
        <v>26</v>
      </c>
      <c r="D619" t="s">
        <v>9</v>
      </c>
      <c r="E619" s="3">
        <v>200</v>
      </c>
      <c r="F619" s="4">
        <v>44302</v>
      </c>
      <c r="G619" s="2" t="s">
        <v>28</v>
      </c>
      <c r="N619">
        <v>767</v>
      </c>
      <c r="O619" t="str">
        <v>PROYECTO</v>
      </c>
      <c r="P619" t="str">
        <v>CLIENTE-0006</v>
      </c>
      <c r="Q619" t="str">
        <v>BARCELONA</v>
      </c>
      <c r="R619" s="10">
        <v>1200</v>
      </c>
      <c r="S619">
        <v>43963</v>
      </c>
      <c r="T619" t="str">
        <v>SI</v>
      </c>
      <c r="AN619">
        <v>617</v>
      </c>
      <c r="AO619" t="str">
        <v>EQUIPOS</v>
      </c>
      <c r="AP619" t="str">
        <v>CLIENTE-0009</v>
      </c>
      <c r="AQ619">
        <v>300</v>
      </c>
      <c r="AR619" t="str">
        <v>NO</v>
      </c>
    </row>
    <row r="620" spans="1:44">
      <c r="A620" s="2">
        <v>619</v>
      </c>
      <c r="B620" t="s">
        <v>20</v>
      </c>
      <c r="C620" t="s">
        <v>27</v>
      </c>
      <c r="D620" t="s">
        <v>9</v>
      </c>
      <c r="E620" s="3">
        <v>150</v>
      </c>
      <c r="F620" s="4">
        <v>44008</v>
      </c>
      <c r="G620" s="2" t="s">
        <v>28</v>
      </c>
      <c r="N620">
        <v>777</v>
      </c>
      <c r="O620" t="str">
        <v>CONSULTORIA</v>
      </c>
      <c r="P620" t="str">
        <v>CLIENTE-0004</v>
      </c>
      <c r="Q620" t="str">
        <v>MADRID</v>
      </c>
      <c r="R620" s="10">
        <v>1200</v>
      </c>
      <c r="S620">
        <v>43529</v>
      </c>
      <c r="T620" t="str">
        <v>NO</v>
      </c>
      <c r="AN620">
        <v>618</v>
      </c>
      <c r="AO620" t="str">
        <v>PROGRAMA</v>
      </c>
      <c r="AP620" t="str">
        <v>CLIENTE-0010</v>
      </c>
      <c r="AQ620">
        <v>200</v>
      </c>
      <c r="AR620" t="str">
        <v>NO</v>
      </c>
    </row>
    <row r="621" spans="1:44">
      <c r="A621" s="2">
        <v>620</v>
      </c>
      <c r="B621" t="s">
        <v>22</v>
      </c>
      <c r="C621" t="s">
        <v>26</v>
      </c>
      <c r="D621" t="s">
        <v>9</v>
      </c>
      <c r="E621" s="3">
        <v>120</v>
      </c>
      <c r="F621" s="4">
        <v>44214</v>
      </c>
      <c r="G621" s="2" t="s">
        <v>28</v>
      </c>
      <c r="N621">
        <v>10</v>
      </c>
      <c r="O621" t="str">
        <v>PROGRAMA</v>
      </c>
      <c r="P621" t="str">
        <v>CLIENTE-0007</v>
      </c>
      <c r="Q621" t="str">
        <v>BARCELONA</v>
      </c>
      <c r="R621" s="10">
        <v>1500</v>
      </c>
      <c r="S621">
        <v>43584</v>
      </c>
      <c r="T621" t="str">
        <v>SI</v>
      </c>
      <c r="AN621">
        <v>619</v>
      </c>
      <c r="AO621" t="str">
        <v>FORMACION</v>
      </c>
      <c r="AP621" t="str">
        <v>CLIENTE-0001</v>
      </c>
      <c r="AQ621">
        <v>150</v>
      </c>
      <c r="AR621" t="str">
        <v>NO</v>
      </c>
    </row>
    <row r="622" spans="1:44">
      <c r="A622" s="2">
        <v>621</v>
      </c>
      <c r="B622" t="s">
        <v>10</v>
      </c>
      <c r="C622" t="s">
        <v>27</v>
      </c>
      <c r="D622" t="s">
        <v>9</v>
      </c>
      <c r="E622" s="3">
        <v>300</v>
      </c>
      <c r="F622" s="4">
        <v>43604</v>
      </c>
      <c r="G622" s="2" t="s">
        <v>28</v>
      </c>
      <c r="N622">
        <v>33</v>
      </c>
      <c r="O622" t="str">
        <v>PROYECTO</v>
      </c>
      <c r="P622" t="str">
        <v>CLIENTE-0010</v>
      </c>
      <c r="Q622" t="str">
        <v>MADRID</v>
      </c>
      <c r="R622" s="10">
        <v>1500</v>
      </c>
      <c r="S622">
        <v>43753</v>
      </c>
      <c r="T622" t="str">
        <v>SI</v>
      </c>
      <c r="AN622">
        <v>620</v>
      </c>
      <c r="AO622" t="str">
        <v>CONSULTORIA</v>
      </c>
      <c r="AP622" t="str">
        <v>CLIENTE-0010</v>
      </c>
      <c r="AQ622">
        <v>120</v>
      </c>
      <c r="AR622" t="str">
        <v>NO</v>
      </c>
    </row>
    <row r="623" spans="1:44">
      <c r="A623" s="2">
        <v>622</v>
      </c>
      <c r="B623" t="s">
        <v>13</v>
      </c>
      <c r="C623" t="s">
        <v>29</v>
      </c>
      <c r="D623" t="s">
        <v>24</v>
      </c>
      <c r="E623" s="3">
        <v>350</v>
      </c>
      <c r="F623" s="4">
        <v>44132</v>
      </c>
      <c r="G623" s="2" t="s">
        <v>28</v>
      </c>
      <c r="N623">
        <v>67</v>
      </c>
      <c r="O623" t="str">
        <v>PROYECTO</v>
      </c>
      <c r="P623" t="str">
        <v>CLIENTE-0007</v>
      </c>
      <c r="Q623" t="str">
        <v>BARCELONA</v>
      </c>
      <c r="R623" s="10">
        <v>1500</v>
      </c>
      <c r="S623">
        <v>44444</v>
      </c>
      <c r="T623" t="str">
        <v>SI</v>
      </c>
      <c r="AN623">
        <v>621</v>
      </c>
      <c r="AO623" t="str">
        <v>DESARROLLO</v>
      </c>
      <c r="AP623" t="str">
        <v>CLIENTE-0001</v>
      </c>
      <c r="AQ623">
        <v>300</v>
      </c>
      <c r="AR623" t="str">
        <v>NO</v>
      </c>
    </row>
    <row r="624" spans="1:44">
      <c r="A624" s="2">
        <v>623</v>
      </c>
      <c r="B624" t="s">
        <v>16</v>
      </c>
      <c r="C624" t="s">
        <v>21</v>
      </c>
      <c r="D624" t="s">
        <v>9</v>
      </c>
      <c r="E624" s="3">
        <v>300</v>
      </c>
      <c r="F624" s="4">
        <v>44210</v>
      </c>
      <c r="G624" s="2" t="s">
        <v>12</v>
      </c>
      <c r="N624">
        <v>79</v>
      </c>
      <c r="O624" t="str">
        <v>PROGRAMA</v>
      </c>
      <c r="P624" t="str">
        <v>CLIENTE-0001</v>
      </c>
      <c r="Q624" t="str">
        <v>MADRID</v>
      </c>
      <c r="R624" s="10">
        <v>1500</v>
      </c>
      <c r="S624">
        <v>43634</v>
      </c>
      <c r="T624" t="str">
        <v>SI</v>
      </c>
      <c r="AN624">
        <v>622</v>
      </c>
      <c r="AO624" t="str">
        <v>PROYECTO</v>
      </c>
      <c r="AP624" t="str">
        <v>CLIENTE-0002</v>
      </c>
      <c r="AQ624">
        <v>350</v>
      </c>
      <c r="AR624" t="str">
        <v>NO</v>
      </c>
    </row>
    <row r="625" spans="1:44">
      <c r="A625" s="2">
        <v>624</v>
      </c>
      <c r="B625" t="s">
        <v>18</v>
      </c>
      <c r="C625" t="s">
        <v>11</v>
      </c>
      <c r="D625" t="s">
        <v>9</v>
      </c>
      <c r="E625" s="3">
        <v>120</v>
      </c>
      <c r="F625" s="4">
        <v>44102</v>
      </c>
      <c r="G625" s="2" t="s">
        <v>12</v>
      </c>
      <c r="N625">
        <v>102</v>
      </c>
      <c r="O625" t="str">
        <v>PROYECTO</v>
      </c>
      <c r="P625" t="str">
        <v>CLIENTE-0009</v>
      </c>
      <c r="Q625" t="str">
        <v>ALICANTE</v>
      </c>
      <c r="R625" s="10">
        <v>1500</v>
      </c>
      <c r="S625">
        <v>44287</v>
      </c>
      <c r="T625" t="str">
        <v>SI</v>
      </c>
      <c r="AN625">
        <v>623</v>
      </c>
      <c r="AO625" t="str">
        <v>EQUIPOS</v>
      </c>
      <c r="AP625" t="str">
        <v>CLIENTE-0003</v>
      </c>
      <c r="AQ625">
        <v>300</v>
      </c>
      <c r="AR625" t="str">
        <v>SI</v>
      </c>
    </row>
    <row r="626" spans="1:44">
      <c r="A626" s="2">
        <v>625</v>
      </c>
      <c r="B626" t="s">
        <v>20</v>
      </c>
      <c r="C626" t="s">
        <v>14</v>
      </c>
      <c r="D626" t="s">
        <v>15</v>
      </c>
      <c r="E626" s="3">
        <v>150</v>
      </c>
      <c r="F626" s="4">
        <v>43591</v>
      </c>
      <c r="G626" s="2" t="s">
        <v>12</v>
      </c>
      <c r="N626">
        <v>136</v>
      </c>
      <c r="O626" t="str">
        <v>DESARROLLO</v>
      </c>
      <c r="P626" t="str">
        <v>CLIENTE-0004</v>
      </c>
      <c r="Q626" t="str">
        <v>MADRID</v>
      </c>
      <c r="R626" s="10">
        <v>1500</v>
      </c>
      <c r="S626">
        <v>44356</v>
      </c>
      <c r="T626" t="str">
        <v>SI</v>
      </c>
      <c r="AN626">
        <v>624</v>
      </c>
      <c r="AO626" t="str">
        <v>PROGRAMA</v>
      </c>
      <c r="AP626" t="str">
        <v>CLIENTE-0004</v>
      </c>
      <c r="AQ626">
        <v>120</v>
      </c>
      <c r="AR626" t="str">
        <v>SI</v>
      </c>
    </row>
    <row r="627" spans="1:44">
      <c r="A627" s="2">
        <v>626</v>
      </c>
      <c r="B627" t="s">
        <v>22</v>
      </c>
      <c r="C627" t="s">
        <v>17</v>
      </c>
      <c r="D627" t="s">
        <v>15</v>
      </c>
      <c r="E627" s="3">
        <v>1200</v>
      </c>
      <c r="F627" s="4">
        <v>44067</v>
      </c>
      <c r="G627" s="2" t="s">
        <v>12</v>
      </c>
      <c r="N627">
        <v>148</v>
      </c>
      <c r="O627" t="str">
        <v>DESARROLLO</v>
      </c>
      <c r="P627" t="str">
        <v>CLIENTE-0010</v>
      </c>
      <c r="Q627" t="str">
        <v>MADRID</v>
      </c>
      <c r="R627" s="10">
        <v>1500</v>
      </c>
      <c r="S627">
        <v>44233</v>
      </c>
      <c r="T627" t="str">
        <v>SI</v>
      </c>
      <c r="AN627">
        <v>625</v>
      </c>
      <c r="AO627" t="str">
        <v>FORMACION</v>
      </c>
      <c r="AP627" t="str">
        <v>CLIENTE-0005</v>
      </c>
      <c r="AQ627">
        <v>150</v>
      </c>
      <c r="AR627" t="str">
        <v>SI</v>
      </c>
    </row>
    <row r="628" spans="1:44">
      <c r="A628" s="2">
        <v>627</v>
      </c>
      <c r="B628" t="s">
        <v>10</v>
      </c>
      <c r="C628" t="s">
        <v>19</v>
      </c>
      <c r="D628" t="s">
        <v>15</v>
      </c>
      <c r="E628" s="3">
        <v>800</v>
      </c>
      <c r="F628" s="4">
        <v>43473</v>
      </c>
      <c r="G628" s="2" t="s">
        <v>12</v>
      </c>
      <c r="N628">
        <v>171</v>
      </c>
      <c r="O628" t="str">
        <v>PROYECTO</v>
      </c>
      <c r="P628" t="str">
        <v>CLIENTE-0001</v>
      </c>
      <c r="Q628" t="str">
        <v>MADRID</v>
      </c>
      <c r="R628" s="10">
        <v>1500</v>
      </c>
      <c r="S628">
        <v>44091</v>
      </c>
      <c r="T628" t="str">
        <v>SI</v>
      </c>
      <c r="AN628">
        <v>626</v>
      </c>
      <c r="AO628" t="str">
        <v>CONSULTORIA</v>
      </c>
      <c r="AP628" t="str">
        <v>CLIENTE-0006</v>
      </c>
      <c r="AQ628">
        <v>1200</v>
      </c>
      <c r="AR628" t="str">
        <v>SI</v>
      </c>
    </row>
    <row r="629" spans="1:44">
      <c r="A629" s="2">
        <v>628</v>
      </c>
      <c r="B629" t="s">
        <v>13</v>
      </c>
      <c r="C629" t="s">
        <v>23</v>
      </c>
      <c r="D629" t="s">
        <v>24</v>
      </c>
      <c r="E629" s="3">
        <v>750</v>
      </c>
      <c r="F629" s="4">
        <v>44060</v>
      </c>
      <c r="G629" s="2" t="s">
        <v>12</v>
      </c>
      <c r="N629">
        <v>205</v>
      </c>
      <c r="O629" t="str">
        <v>PROGRAMA</v>
      </c>
      <c r="P629" t="str">
        <v>CLIENTE-0007</v>
      </c>
      <c r="Q629" t="str">
        <v>BARCELONA</v>
      </c>
      <c r="R629" s="10">
        <v>1500</v>
      </c>
      <c r="S629">
        <v>43525</v>
      </c>
      <c r="T629" t="str">
        <v>SI</v>
      </c>
      <c r="AN629">
        <v>627</v>
      </c>
      <c r="AO629" t="str">
        <v>DESARROLLO</v>
      </c>
      <c r="AP629" t="str">
        <v>CLIENTE-0007</v>
      </c>
      <c r="AQ629">
        <v>800</v>
      </c>
      <c r="AR629" t="str">
        <v>SI</v>
      </c>
    </row>
    <row r="630" spans="1:44">
      <c r="A630" s="2">
        <v>629</v>
      </c>
      <c r="B630" t="s">
        <v>16</v>
      </c>
      <c r="C630" t="s">
        <v>25</v>
      </c>
      <c r="D630" t="s">
        <v>24</v>
      </c>
      <c r="E630" s="3">
        <v>4500</v>
      </c>
      <c r="F630" s="4">
        <v>43683</v>
      </c>
      <c r="G630" s="2" t="s">
        <v>12</v>
      </c>
      <c r="N630">
        <v>217</v>
      </c>
      <c r="O630" t="str">
        <v>CONSULTORIA</v>
      </c>
      <c r="P630" t="str">
        <v>CLIENTE-0007</v>
      </c>
      <c r="Q630" t="str">
        <v>BARCELONA</v>
      </c>
      <c r="R630" s="10">
        <v>1500</v>
      </c>
      <c r="S630">
        <v>44212</v>
      </c>
      <c r="T630" t="str">
        <v>SI</v>
      </c>
      <c r="AN630">
        <v>628</v>
      </c>
      <c r="AO630" t="str">
        <v>PROYECTO</v>
      </c>
      <c r="AP630" t="str">
        <v>CLIENTE-0008</v>
      </c>
      <c r="AQ630">
        <v>750</v>
      </c>
      <c r="AR630" t="str">
        <v>SI</v>
      </c>
    </row>
    <row r="631" spans="1:44">
      <c r="A631" s="2">
        <v>630</v>
      </c>
      <c r="B631" t="s">
        <v>18</v>
      </c>
      <c r="C631" t="s">
        <v>26</v>
      </c>
      <c r="D631" t="s">
        <v>9</v>
      </c>
      <c r="E631" s="3">
        <v>500</v>
      </c>
      <c r="F631" s="4">
        <v>44247</v>
      </c>
      <c r="G631" s="2" t="s">
        <v>12</v>
      </c>
      <c r="N631">
        <v>240</v>
      </c>
      <c r="O631" t="str">
        <v>FORMACION</v>
      </c>
      <c r="P631" t="str">
        <v>CLIENTE-0005</v>
      </c>
      <c r="Q631" t="str">
        <v>BARCELONA</v>
      </c>
      <c r="R631" s="10">
        <v>1500</v>
      </c>
      <c r="S631">
        <v>43922</v>
      </c>
      <c r="T631" t="str">
        <v>SI</v>
      </c>
      <c r="AN631">
        <v>629</v>
      </c>
      <c r="AO631" t="str">
        <v>EQUIPOS</v>
      </c>
      <c r="AP631" t="str">
        <v>CLIENTE-0009</v>
      </c>
      <c r="AQ631">
        <v>4500</v>
      </c>
      <c r="AR631" t="str">
        <v>SI</v>
      </c>
    </row>
    <row r="632" spans="1:44">
      <c r="A632" s="2">
        <v>631</v>
      </c>
      <c r="B632" t="s">
        <v>20</v>
      </c>
      <c r="C632" t="s">
        <v>11</v>
      </c>
      <c r="D632" t="s">
        <v>9</v>
      </c>
      <c r="E632" s="3">
        <v>750</v>
      </c>
      <c r="F632" s="4">
        <v>44451</v>
      </c>
      <c r="G632" s="2" t="s">
        <v>12</v>
      </c>
      <c r="N632">
        <v>274</v>
      </c>
      <c r="O632" t="str">
        <v>PROGRAMA</v>
      </c>
      <c r="P632" t="str">
        <v>CLIENTE-0005</v>
      </c>
      <c r="Q632" t="str">
        <v>BARCELONA</v>
      </c>
      <c r="R632" s="10">
        <v>1500</v>
      </c>
      <c r="S632">
        <v>44545</v>
      </c>
      <c r="T632" t="str">
        <v>SI</v>
      </c>
      <c r="AN632">
        <v>630</v>
      </c>
      <c r="AO632" t="str">
        <v>PROGRAMA</v>
      </c>
      <c r="AP632" t="str">
        <v>CLIENTE-0010</v>
      </c>
      <c r="AQ632">
        <v>500</v>
      </c>
      <c r="AR632" t="str">
        <v>SI</v>
      </c>
    </row>
    <row r="633" spans="1:44">
      <c r="A633" s="2">
        <v>632</v>
      </c>
      <c r="B633" t="s">
        <v>22</v>
      </c>
      <c r="C633" t="s">
        <v>14</v>
      </c>
      <c r="D633" t="s">
        <v>15</v>
      </c>
      <c r="E633" s="3">
        <v>950</v>
      </c>
      <c r="F633" s="4">
        <v>43853</v>
      </c>
      <c r="G633" s="2" t="s">
        <v>12</v>
      </c>
      <c r="N633">
        <v>283</v>
      </c>
      <c r="O633" t="str">
        <v>EQUIPOS</v>
      </c>
      <c r="P633" t="str">
        <v>CLIENTE-0006</v>
      </c>
      <c r="Q633" t="str">
        <v>BARCELONA</v>
      </c>
      <c r="R633" s="10">
        <v>1500</v>
      </c>
      <c r="S633">
        <v>43704</v>
      </c>
      <c r="T633" t="str">
        <v>NO</v>
      </c>
      <c r="AN633">
        <v>631</v>
      </c>
      <c r="AO633" t="str">
        <v>FORMACION</v>
      </c>
      <c r="AP633" t="str">
        <v>CLIENTE-0004</v>
      </c>
      <c r="AQ633">
        <v>750</v>
      </c>
      <c r="AR633" t="str">
        <v>SI</v>
      </c>
    </row>
    <row r="634" spans="1:44">
      <c r="A634" s="2">
        <v>633</v>
      </c>
      <c r="B634" t="s">
        <v>10</v>
      </c>
      <c r="C634" t="s">
        <v>14</v>
      </c>
      <c r="D634" t="s">
        <v>15</v>
      </c>
      <c r="E634" s="3">
        <v>680</v>
      </c>
      <c r="F634" s="4">
        <v>43476</v>
      </c>
      <c r="G634" s="2" t="s">
        <v>12</v>
      </c>
      <c r="N634">
        <v>317</v>
      </c>
      <c r="O634" t="str">
        <v>CONSULTORIA</v>
      </c>
      <c r="P634" t="str">
        <v>CLIENTE-0008</v>
      </c>
      <c r="Q634" t="str">
        <v>ALICANTE</v>
      </c>
      <c r="R634" s="10">
        <v>1500</v>
      </c>
      <c r="S634">
        <v>44116</v>
      </c>
      <c r="T634" t="str">
        <v>SI</v>
      </c>
      <c r="AN634">
        <v>632</v>
      </c>
      <c r="AO634" t="str">
        <v>CONSULTORIA</v>
      </c>
      <c r="AP634" t="str">
        <v>CLIENTE-0005</v>
      </c>
      <c r="AQ634">
        <v>950</v>
      </c>
      <c r="AR634" t="str">
        <v>SI</v>
      </c>
    </row>
    <row r="635" spans="1:44">
      <c r="A635" s="2">
        <v>634</v>
      </c>
      <c r="B635" t="s">
        <v>13</v>
      </c>
      <c r="C635" t="s">
        <v>17</v>
      </c>
      <c r="D635" t="s">
        <v>15</v>
      </c>
      <c r="E635" s="3">
        <v>120</v>
      </c>
      <c r="F635" s="4">
        <v>43577</v>
      </c>
      <c r="G635" s="2" t="s">
        <v>12</v>
      </c>
      <c r="N635">
        <v>329</v>
      </c>
      <c r="O635" t="str">
        <v>CONSULTORIA</v>
      </c>
      <c r="P635" t="str">
        <v>CLIENTE-0010</v>
      </c>
      <c r="Q635" t="str">
        <v>MADRID</v>
      </c>
      <c r="R635" s="10">
        <v>1500</v>
      </c>
      <c r="S635">
        <v>43797</v>
      </c>
      <c r="T635" t="str">
        <v>SI</v>
      </c>
      <c r="AN635">
        <v>633</v>
      </c>
      <c r="AO635" t="str">
        <v>DESARROLLO</v>
      </c>
      <c r="AP635" t="str">
        <v>CLIENTE-0005</v>
      </c>
      <c r="AQ635">
        <v>680</v>
      </c>
      <c r="AR635" t="str">
        <v>SI</v>
      </c>
    </row>
    <row r="636" spans="1:44">
      <c r="A636" s="2">
        <v>635</v>
      </c>
      <c r="B636" t="s">
        <v>16</v>
      </c>
      <c r="C636" t="s">
        <v>19</v>
      </c>
      <c r="D636" t="s">
        <v>15</v>
      </c>
      <c r="E636" s="3">
        <v>150</v>
      </c>
      <c r="F636" s="4">
        <v>44359</v>
      </c>
      <c r="G636" s="2" t="s">
        <v>12</v>
      </c>
      <c r="N636">
        <v>352</v>
      </c>
      <c r="O636" t="str">
        <v>DESARROLLO</v>
      </c>
      <c r="P636" t="str">
        <v>CLIENTE-0010</v>
      </c>
      <c r="Q636" t="str">
        <v>MADRID</v>
      </c>
      <c r="R636" s="10">
        <v>1500</v>
      </c>
      <c r="S636">
        <v>43523</v>
      </c>
      <c r="T636" t="str">
        <v>NO</v>
      </c>
      <c r="AN636">
        <v>634</v>
      </c>
      <c r="AO636" t="str">
        <v>PROYECTO</v>
      </c>
      <c r="AP636" t="str">
        <v>CLIENTE-0006</v>
      </c>
      <c r="AQ636">
        <v>120</v>
      </c>
      <c r="AR636" t="str">
        <v>SI</v>
      </c>
    </row>
    <row r="637" spans="1:44">
      <c r="A637" s="2">
        <v>636</v>
      </c>
      <c r="B637" t="s">
        <v>18</v>
      </c>
      <c r="C637" t="s">
        <v>23</v>
      </c>
      <c r="D637" t="s">
        <v>24</v>
      </c>
      <c r="E637" s="3">
        <v>1200</v>
      </c>
      <c r="F637" s="4">
        <v>43870</v>
      </c>
      <c r="G637" s="2" t="s">
        <v>12</v>
      </c>
      <c r="N637">
        <v>394</v>
      </c>
      <c r="O637" t="str">
        <v>CONSULTORIA</v>
      </c>
      <c r="P637" t="str">
        <v>CLIENTE-0006</v>
      </c>
      <c r="Q637" t="str">
        <v>BARCELONA</v>
      </c>
      <c r="R637" s="10">
        <v>1500</v>
      </c>
      <c r="S637">
        <v>43705</v>
      </c>
      <c r="T637" t="str">
        <v>NO</v>
      </c>
      <c r="AN637">
        <v>635</v>
      </c>
      <c r="AO637" t="str">
        <v>EQUIPOS</v>
      </c>
      <c r="AP637" t="str">
        <v>CLIENTE-0007</v>
      </c>
      <c r="AQ637">
        <v>150</v>
      </c>
      <c r="AR637" t="str">
        <v>SI</v>
      </c>
    </row>
    <row r="638" spans="1:44">
      <c r="A638" s="2">
        <v>637</v>
      </c>
      <c r="B638" t="s">
        <v>20</v>
      </c>
      <c r="C638" t="s">
        <v>25</v>
      </c>
      <c r="D638" t="s">
        <v>24</v>
      </c>
      <c r="E638" s="3">
        <v>800</v>
      </c>
      <c r="F638" s="4">
        <v>44146</v>
      </c>
      <c r="G638" s="2" t="s">
        <v>12</v>
      </c>
      <c r="N638">
        <v>428</v>
      </c>
      <c r="O638" t="str">
        <v>EQUIPOS</v>
      </c>
      <c r="P638" t="str">
        <v>CLIENTE-0008</v>
      </c>
      <c r="Q638" t="str">
        <v>ALICANTE</v>
      </c>
      <c r="R638" s="10">
        <v>1500</v>
      </c>
      <c r="S638">
        <v>43801</v>
      </c>
      <c r="T638" t="str">
        <v>SI</v>
      </c>
      <c r="AN638">
        <v>636</v>
      </c>
      <c r="AO638" t="str">
        <v>PROGRAMA</v>
      </c>
      <c r="AP638" t="str">
        <v>CLIENTE-0008</v>
      </c>
      <c r="AQ638">
        <v>1200</v>
      </c>
      <c r="AR638" t="str">
        <v>SI</v>
      </c>
    </row>
    <row r="639" spans="1:44">
      <c r="A639" s="2">
        <v>638</v>
      </c>
      <c r="B639" t="s">
        <v>22</v>
      </c>
      <c r="C639" t="s">
        <v>26</v>
      </c>
      <c r="D639" t="s">
        <v>9</v>
      </c>
      <c r="E639" s="3">
        <v>750</v>
      </c>
      <c r="F639" s="4">
        <v>44370</v>
      </c>
      <c r="G639" s="2" t="s">
        <v>12</v>
      </c>
      <c r="N639">
        <v>440</v>
      </c>
      <c r="O639" t="str">
        <v>PROYECTO</v>
      </c>
      <c r="P639" t="str">
        <v>CLIENTE-0007</v>
      </c>
      <c r="Q639" t="str">
        <v>BARCELONA</v>
      </c>
      <c r="R639" s="10">
        <v>1500</v>
      </c>
      <c r="S639">
        <v>44081</v>
      </c>
      <c r="T639" t="str">
        <v>NO</v>
      </c>
      <c r="AN639">
        <v>637</v>
      </c>
      <c r="AO639" t="str">
        <v>FORMACION</v>
      </c>
      <c r="AP639" t="str">
        <v>CLIENTE-0009</v>
      </c>
      <c r="AQ639">
        <v>800</v>
      </c>
      <c r="AR639" t="str">
        <v>SI</v>
      </c>
    </row>
    <row r="640" spans="1:44">
      <c r="A640" s="2">
        <v>639</v>
      </c>
      <c r="B640" t="s">
        <v>10</v>
      </c>
      <c r="C640" t="s">
        <v>27</v>
      </c>
      <c r="D640" t="s">
        <v>9</v>
      </c>
      <c r="E640" s="3">
        <v>4500</v>
      </c>
      <c r="F640" s="4">
        <v>43510</v>
      </c>
      <c r="G640" s="2" t="s">
        <v>12</v>
      </c>
      <c r="N640">
        <v>463</v>
      </c>
      <c r="O640" t="str">
        <v>EQUIPOS</v>
      </c>
      <c r="P640" t="str">
        <v>CLIENTE-0010</v>
      </c>
      <c r="Q640" t="str">
        <v>MADRID</v>
      </c>
      <c r="R640" s="10">
        <v>1500</v>
      </c>
      <c r="S640">
        <v>44159</v>
      </c>
      <c r="T640" t="str">
        <v>SI</v>
      </c>
      <c r="AN640">
        <v>638</v>
      </c>
      <c r="AO640" t="str">
        <v>CONSULTORIA</v>
      </c>
      <c r="AP640" t="str">
        <v>CLIENTE-0010</v>
      </c>
      <c r="AQ640">
        <v>750</v>
      </c>
      <c r="AR640" t="str">
        <v>SI</v>
      </c>
    </row>
    <row r="641" spans="1:44">
      <c r="A641" s="2">
        <v>640</v>
      </c>
      <c r="B641" t="s">
        <v>13</v>
      </c>
      <c r="C641" t="s">
        <v>26</v>
      </c>
      <c r="D641" t="s">
        <v>9</v>
      </c>
      <c r="E641" s="3">
        <v>500</v>
      </c>
      <c r="F641" s="4">
        <v>44251</v>
      </c>
      <c r="G641" s="2" t="s">
        <v>12</v>
      </c>
      <c r="N641">
        <v>497</v>
      </c>
      <c r="O641" t="str">
        <v>EQUIPOS</v>
      </c>
      <c r="P641" t="str">
        <v>CLIENTE-0007</v>
      </c>
      <c r="Q641" t="str">
        <v>BARCELONA</v>
      </c>
      <c r="R641" s="10">
        <v>1500</v>
      </c>
      <c r="S641">
        <v>44545</v>
      </c>
      <c r="T641" t="str">
        <v>SI</v>
      </c>
      <c r="AN641">
        <v>639</v>
      </c>
      <c r="AO641" t="str">
        <v>DESARROLLO</v>
      </c>
      <c r="AP641" t="str">
        <v>CLIENTE-0001</v>
      </c>
      <c r="AQ641">
        <v>4500</v>
      </c>
      <c r="AR641" t="str">
        <v>SI</v>
      </c>
    </row>
    <row r="642" spans="1:44">
      <c r="A642" s="2">
        <v>641</v>
      </c>
      <c r="B642" t="s">
        <v>16</v>
      </c>
      <c r="C642" t="s">
        <v>27</v>
      </c>
      <c r="D642" t="s">
        <v>9</v>
      </c>
      <c r="E642" s="3">
        <v>750</v>
      </c>
      <c r="F642" s="4">
        <v>44433</v>
      </c>
      <c r="G642" s="2" t="s">
        <v>12</v>
      </c>
      <c r="N642">
        <v>509</v>
      </c>
      <c r="O642" t="str">
        <v>PROYECTO</v>
      </c>
      <c r="P642" t="str">
        <v>CLIENTE-0001</v>
      </c>
      <c r="Q642" t="str">
        <v>MADRID</v>
      </c>
      <c r="R642" s="10">
        <v>1500</v>
      </c>
      <c r="S642">
        <v>43626</v>
      </c>
      <c r="T642" t="str">
        <v>NO</v>
      </c>
      <c r="AN642">
        <v>640</v>
      </c>
      <c r="AO642" t="str">
        <v>PROYECTO</v>
      </c>
      <c r="AP642" t="str">
        <v>CLIENTE-0010</v>
      </c>
      <c r="AQ642">
        <v>500</v>
      </c>
      <c r="AR642" t="str">
        <v>SI</v>
      </c>
    </row>
    <row r="643" spans="1:44">
      <c r="A643" s="2">
        <v>642</v>
      </c>
      <c r="B643" t="s">
        <v>18</v>
      </c>
      <c r="C643" t="s">
        <v>29</v>
      </c>
      <c r="D643" t="s">
        <v>24</v>
      </c>
      <c r="E643" s="3">
        <v>950</v>
      </c>
      <c r="F643" s="4">
        <v>43573</v>
      </c>
      <c r="G643" s="2" t="s">
        <v>12</v>
      </c>
      <c r="N643">
        <v>532</v>
      </c>
      <c r="O643" t="str">
        <v>CONSULTORIA</v>
      </c>
      <c r="P643" t="str">
        <v>CLIENTE-0009</v>
      </c>
      <c r="Q643" t="str">
        <v>ALICANTE</v>
      </c>
      <c r="R643" s="10">
        <v>1500</v>
      </c>
      <c r="S643">
        <v>44127</v>
      </c>
      <c r="T643" t="str">
        <v>SI</v>
      </c>
      <c r="AN643">
        <v>641</v>
      </c>
      <c r="AO643" t="str">
        <v>EQUIPOS</v>
      </c>
      <c r="AP643" t="str">
        <v>CLIENTE-0001</v>
      </c>
      <c r="AQ643">
        <v>750</v>
      </c>
      <c r="AR643" t="str">
        <v>SI</v>
      </c>
    </row>
    <row r="644" spans="1:44">
      <c r="A644" s="2">
        <v>643</v>
      </c>
      <c r="B644" t="s">
        <v>20</v>
      </c>
      <c r="C644" t="s">
        <v>21</v>
      </c>
      <c r="D644" t="s">
        <v>9</v>
      </c>
      <c r="E644" s="3">
        <v>680</v>
      </c>
      <c r="F644" s="4">
        <v>43861</v>
      </c>
      <c r="G644" s="2" t="s">
        <v>12</v>
      </c>
      <c r="N644">
        <v>566</v>
      </c>
      <c r="O644" t="str">
        <v>CONSULTORIA</v>
      </c>
      <c r="P644" t="str">
        <v>CLIENTE-0004</v>
      </c>
      <c r="Q644" t="str">
        <v>MADRID</v>
      </c>
      <c r="R644" s="10">
        <v>1500</v>
      </c>
      <c r="S644">
        <v>43646</v>
      </c>
      <c r="T644" t="str">
        <v>SI</v>
      </c>
      <c r="AN644">
        <v>642</v>
      </c>
      <c r="AO644" t="str">
        <v>PROGRAMA</v>
      </c>
      <c r="AP644" t="str">
        <v>CLIENTE-0002</v>
      </c>
      <c r="AQ644">
        <v>950</v>
      </c>
      <c r="AR644" t="str">
        <v>SI</v>
      </c>
    </row>
    <row r="645" spans="1:44">
      <c r="A645" s="2">
        <v>644</v>
      </c>
      <c r="B645" t="s">
        <v>22</v>
      </c>
      <c r="C645" t="s">
        <v>11</v>
      </c>
      <c r="D645" t="s">
        <v>9</v>
      </c>
      <c r="E645" s="3">
        <v>950</v>
      </c>
      <c r="F645" s="4">
        <v>44320</v>
      </c>
      <c r="G645" s="2" t="s">
        <v>28</v>
      </c>
      <c r="N645">
        <v>578</v>
      </c>
      <c r="O645" t="str">
        <v>CONSULTORIA</v>
      </c>
      <c r="P645" t="str">
        <v>CLIENTE-0003</v>
      </c>
      <c r="Q645" t="str">
        <v>MADRID</v>
      </c>
      <c r="R645" s="10">
        <v>1500</v>
      </c>
      <c r="S645">
        <v>43700</v>
      </c>
      <c r="T645" t="str">
        <v>NO</v>
      </c>
      <c r="AN645">
        <v>643</v>
      </c>
      <c r="AO645" t="str">
        <v>FORMACION</v>
      </c>
      <c r="AP645" t="str">
        <v>CLIENTE-0003</v>
      </c>
      <c r="AQ645">
        <v>680</v>
      </c>
      <c r="AR645" t="str">
        <v>SI</v>
      </c>
    </row>
    <row r="646" spans="1:44">
      <c r="A646" s="2">
        <v>645</v>
      </c>
      <c r="B646" t="s">
        <v>10</v>
      </c>
      <c r="C646" t="s">
        <v>14</v>
      </c>
      <c r="D646" t="s">
        <v>15</v>
      </c>
      <c r="E646" s="3">
        <v>1500</v>
      </c>
      <c r="F646" s="4">
        <v>44402</v>
      </c>
      <c r="G646" s="2" t="s">
        <v>28</v>
      </c>
      <c r="N646">
        <v>601</v>
      </c>
      <c r="O646" t="str">
        <v>CONSULTORIA</v>
      </c>
      <c r="P646" t="str">
        <v>CLIENTE-0006</v>
      </c>
      <c r="Q646" t="str">
        <v>BARCELONA</v>
      </c>
      <c r="R646" s="10">
        <v>1500</v>
      </c>
      <c r="S646">
        <v>44354</v>
      </c>
      <c r="T646" t="str">
        <v>SI</v>
      </c>
      <c r="AN646">
        <v>644</v>
      </c>
      <c r="AO646" t="str">
        <v>CONSULTORIA</v>
      </c>
      <c r="AP646" t="str">
        <v>CLIENTE-0004</v>
      </c>
      <c r="AQ646">
        <v>950</v>
      </c>
      <c r="AR646" t="str">
        <v>NO</v>
      </c>
    </row>
    <row r="647" spans="1:44">
      <c r="A647" s="2">
        <v>646</v>
      </c>
      <c r="B647" t="s">
        <v>13</v>
      </c>
      <c r="C647" t="s">
        <v>17</v>
      </c>
      <c r="D647" t="s">
        <v>15</v>
      </c>
      <c r="E647" s="3">
        <v>5000</v>
      </c>
      <c r="F647" s="4">
        <v>44431</v>
      </c>
      <c r="G647" s="2" t="s">
        <v>28</v>
      </c>
      <c r="N647">
        <v>645</v>
      </c>
      <c r="O647" t="str">
        <v>DESARROLLO</v>
      </c>
      <c r="P647" t="str">
        <v>CLIENTE-0005</v>
      </c>
      <c r="Q647" t="str">
        <v>BARCELONA</v>
      </c>
      <c r="R647" s="10">
        <v>1500</v>
      </c>
      <c r="S647">
        <v>44402</v>
      </c>
      <c r="T647" t="str">
        <v>NO</v>
      </c>
      <c r="AN647">
        <v>645</v>
      </c>
      <c r="AO647" t="str">
        <v>DESARROLLO</v>
      </c>
      <c r="AP647" t="str">
        <v>CLIENTE-0005</v>
      </c>
      <c r="AQ647">
        <v>1500</v>
      </c>
      <c r="AR647" t="str">
        <v>NO</v>
      </c>
    </row>
    <row r="648" spans="1:44">
      <c r="A648" s="2">
        <v>647</v>
      </c>
      <c r="B648" t="s">
        <v>16</v>
      </c>
      <c r="C648" t="s">
        <v>19</v>
      </c>
      <c r="D648" t="s">
        <v>15</v>
      </c>
      <c r="E648" s="3">
        <v>6500</v>
      </c>
      <c r="F648" s="4">
        <v>43608</v>
      </c>
      <c r="G648" s="2" t="s">
        <v>28</v>
      </c>
      <c r="N648">
        <v>687</v>
      </c>
      <c r="O648" t="str">
        <v>PROGRAMA</v>
      </c>
      <c r="P648" t="str">
        <v>CLIENTE-0007</v>
      </c>
      <c r="Q648" t="str">
        <v>BARCELONA</v>
      </c>
      <c r="R648" s="10">
        <v>1500</v>
      </c>
      <c r="S648">
        <v>44087</v>
      </c>
      <c r="T648" t="str">
        <v>SI</v>
      </c>
      <c r="AN648">
        <v>646</v>
      </c>
      <c r="AO648" t="str">
        <v>PROYECTO</v>
      </c>
      <c r="AP648" t="str">
        <v>CLIENTE-0006</v>
      </c>
      <c r="AQ648">
        <v>5000</v>
      </c>
      <c r="AR648" t="str">
        <v>NO</v>
      </c>
    </row>
    <row r="649" spans="1:44">
      <c r="A649" s="2">
        <v>648</v>
      </c>
      <c r="B649" t="s">
        <v>22</v>
      </c>
      <c r="C649" t="s">
        <v>23</v>
      </c>
      <c r="D649" t="s">
        <v>24</v>
      </c>
      <c r="E649" s="3">
        <v>8500</v>
      </c>
      <c r="F649" s="4">
        <v>44172</v>
      </c>
      <c r="G649" s="2" t="s">
        <v>28</v>
      </c>
      <c r="N649">
        <v>721</v>
      </c>
      <c r="O649" t="str">
        <v>PROGRAMA</v>
      </c>
      <c r="P649" t="str">
        <v>CLIENTE-0009</v>
      </c>
      <c r="Q649" t="str">
        <v>ALICANTE</v>
      </c>
      <c r="R649" s="10">
        <v>1500</v>
      </c>
      <c r="S649">
        <v>43511</v>
      </c>
      <c r="T649" t="str">
        <v>SI</v>
      </c>
      <c r="AN649">
        <v>647</v>
      </c>
      <c r="AO649" t="str">
        <v>EQUIPOS</v>
      </c>
      <c r="AP649" t="str">
        <v>CLIENTE-0007</v>
      </c>
      <c r="AQ649">
        <v>6500</v>
      </c>
      <c r="AR649" t="str">
        <v>NO</v>
      </c>
    </row>
    <row r="650" spans="1:44">
      <c r="A650" s="2">
        <v>649</v>
      </c>
      <c r="B650" t="s">
        <v>10</v>
      </c>
      <c r="C650" t="s">
        <v>25</v>
      </c>
      <c r="D650" t="s">
        <v>24</v>
      </c>
      <c r="E650" s="3">
        <v>1200</v>
      </c>
      <c r="F650" s="4">
        <v>43468</v>
      </c>
      <c r="G650" s="2" t="s">
        <v>28</v>
      </c>
      <c r="N650">
        <v>752</v>
      </c>
      <c r="O650" t="str">
        <v>CONSULTORIA</v>
      </c>
      <c r="P650" t="str">
        <v>CLIENTE-0001</v>
      </c>
      <c r="Q650" t="str">
        <v>MADRID</v>
      </c>
      <c r="R650" s="10">
        <v>1500</v>
      </c>
      <c r="S650">
        <v>43715</v>
      </c>
      <c r="T650" t="str">
        <v>SI</v>
      </c>
      <c r="AN650">
        <v>648</v>
      </c>
      <c r="AO650" t="str">
        <v>CONSULTORIA</v>
      </c>
      <c r="AP650" t="str">
        <v>CLIENTE-0008</v>
      </c>
      <c r="AQ650">
        <v>8500</v>
      </c>
      <c r="AR650" t="str">
        <v>NO</v>
      </c>
    </row>
    <row r="651" spans="1:44">
      <c r="A651" s="2">
        <v>650</v>
      </c>
      <c r="B651" t="s">
        <v>13</v>
      </c>
      <c r="C651" t="s">
        <v>26</v>
      </c>
      <c r="D651" t="s">
        <v>9</v>
      </c>
      <c r="E651" s="3">
        <v>300</v>
      </c>
      <c r="F651" s="4">
        <v>43640</v>
      </c>
      <c r="G651" s="2" t="s">
        <v>28</v>
      </c>
      <c r="N651">
        <v>4</v>
      </c>
      <c r="O651" t="str">
        <v>PROGRAMA</v>
      </c>
      <c r="P651" t="str">
        <v>CLIENTE-0007</v>
      </c>
      <c r="Q651" t="str">
        <v>BARCELONA</v>
      </c>
      <c r="R651" s="10">
        <v>4500</v>
      </c>
      <c r="S651">
        <v>43909</v>
      </c>
      <c r="T651" t="str">
        <v>SI</v>
      </c>
      <c r="AN651">
        <v>649</v>
      </c>
      <c r="AO651" t="str">
        <v>DESARROLLO</v>
      </c>
      <c r="AP651" t="str">
        <v>CLIENTE-0009</v>
      </c>
      <c r="AQ651">
        <v>1200</v>
      </c>
      <c r="AR651" t="str">
        <v>NO</v>
      </c>
    </row>
    <row r="652" spans="1:44">
      <c r="A652" s="2">
        <v>651</v>
      </c>
      <c r="B652" t="s">
        <v>16</v>
      </c>
      <c r="C652" t="s">
        <v>11</v>
      </c>
      <c r="D652" t="s">
        <v>9</v>
      </c>
      <c r="E652" s="3">
        <v>200</v>
      </c>
      <c r="F652" s="4">
        <v>43616</v>
      </c>
      <c r="G652" s="2" t="s">
        <v>12</v>
      </c>
      <c r="N652">
        <v>27</v>
      </c>
      <c r="O652" t="str">
        <v>PROYECTO</v>
      </c>
      <c r="P652" t="str">
        <v>CLIENTE-0005</v>
      </c>
      <c r="Q652" t="str">
        <v>BARCELONA</v>
      </c>
      <c r="R652" s="10">
        <v>4500</v>
      </c>
      <c r="S652">
        <v>44350</v>
      </c>
      <c r="T652" t="str">
        <v>SI</v>
      </c>
      <c r="AN652">
        <v>650</v>
      </c>
      <c r="AO652" t="str">
        <v>PROYECTO</v>
      </c>
      <c r="AP652" t="str">
        <v>CLIENTE-0010</v>
      </c>
      <c r="AQ652">
        <v>300</v>
      </c>
      <c r="AR652" t="str">
        <v>NO</v>
      </c>
    </row>
    <row r="653" spans="1:44">
      <c r="A653" s="2">
        <v>652</v>
      </c>
      <c r="B653" t="s">
        <v>18</v>
      </c>
      <c r="C653" t="s">
        <v>26</v>
      </c>
      <c r="D653" t="s">
        <v>9</v>
      </c>
      <c r="E653" s="3">
        <v>150</v>
      </c>
      <c r="F653" s="4">
        <v>43789</v>
      </c>
      <c r="G653" s="2" t="s">
        <v>12</v>
      </c>
      <c r="N653">
        <v>61</v>
      </c>
      <c r="O653" t="str">
        <v>PROYECTO</v>
      </c>
      <c r="P653" t="str">
        <v>CLIENTE-0001</v>
      </c>
      <c r="Q653" t="str">
        <v>MADRID</v>
      </c>
      <c r="R653" s="10">
        <v>4500</v>
      </c>
      <c r="S653">
        <v>44327</v>
      </c>
      <c r="T653" t="str">
        <v>NO</v>
      </c>
      <c r="AN653">
        <v>651</v>
      </c>
      <c r="AO653" t="str">
        <v>EQUIPOS</v>
      </c>
      <c r="AP653" t="str">
        <v>CLIENTE-0004</v>
      </c>
      <c r="AQ653">
        <v>200</v>
      </c>
      <c r="AR653" t="str">
        <v>SI</v>
      </c>
    </row>
    <row r="654" spans="1:44">
      <c r="A654" s="2">
        <v>653</v>
      </c>
      <c r="B654" t="s">
        <v>20</v>
      </c>
      <c r="C654" t="s">
        <v>27</v>
      </c>
      <c r="D654" t="s">
        <v>9</v>
      </c>
      <c r="E654" s="3">
        <v>120</v>
      </c>
      <c r="F654" s="4">
        <v>44334</v>
      </c>
      <c r="G654" s="2" t="s">
        <v>12</v>
      </c>
      <c r="N654">
        <v>73</v>
      </c>
      <c r="O654" t="str">
        <v>PROGRAMA</v>
      </c>
      <c r="P654" t="str">
        <v>CLIENTE-0005</v>
      </c>
      <c r="Q654" t="str">
        <v>BARCELONA</v>
      </c>
      <c r="R654" s="10">
        <v>4500</v>
      </c>
      <c r="S654">
        <v>44004</v>
      </c>
      <c r="T654" t="str">
        <v>SI</v>
      </c>
      <c r="AN654">
        <v>652</v>
      </c>
      <c r="AO654" t="str">
        <v>PROGRAMA</v>
      </c>
      <c r="AP654" t="str">
        <v>CLIENTE-0010</v>
      </c>
      <c r="AQ654">
        <v>150</v>
      </c>
      <c r="AR654" t="str">
        <v>SI</v>
      </c>
    </row>
    <row r="655" spans="1:44">
      <c r="A655" s="2">
        <v>654</v>
      </c>
      <c r="B655" t="s">
        <v>22</v>
      </c>
      <c r="C655" t="s">
        <v>26</v>
      </c>
      <c r="D655" t="s">
        <v>9</v>
      </c>
      <c r="E655" s="3">
        <v>300</v>
      </c>
      <c r="F655" s="4">
        <v>44224</v>
      </c>
      <c r="G655" s="2" t="s">
        <v>12</v>
      </c>
      <c r="N655">
        <v>96</v>
      </c>
      <c r="O655" t="str">
        <v>PROYECTO</v>
      </c>
      <c r="P655" t="str">
        <v>CLIENTE-0004</v>
      </c>
      <c r="Q655" t="str">
        <v>MADRID</v>
      </c>
      <c r="R655" s="10">
        <v>4500</v>
      </c>
      <c r="S655">
        <v>43752</v>
      </c>
      <c r="T655" t="str">
        <v>SI</v>
      </c>
      <c r="AN655">
        <v>653</v>
      </c>
      <c r="AO655" t="str">
        <v>FORMACION</v>
      </c>
      <c r="AP655" t="str">
        <v>CLIENTE-0001</v>
      </c>
      <c r="AQ655">
        <v>120</v>
      </c>
      <c r="AR655" t="str">
        <v>SI</v>
      </c>
    </row>
    <row r="656" spans="1:44">
      <c r="A656" s="2">
        <v>655</v>
      </c>
      <c r="B656" t="s">
        <v>10</v>
      </c>
      <c r="C656" t="s">
        <v>27</v>
      </c>
      <c r="D656" t="s">
        <v>9</v>
      </c>
      <c r="E656" s="3">
        <v>350</v>
      </c>
      <c r="F656" s="4">
        <v>43961</v>
      </c>
      <c r="G656" s="2" t="s">
        <v>12</v>
      </c>
      <c r="N656">
        <v>130</v>
      </c>
      <c r="O656" t="str">
        <v>DESARROLLO</v>
      </c>
      <c r="P656" t="str">
        <v>CLIENTE-0005</v>
      </c>
      <c r="Q656" t="str">
        <v>BARCELONA</v>
      </c>
      <c r="R656" s="10">
        <v>4500</v>
      </c>
      <c r="S656">
        <v>44173</v>
      </c>
      <c r="T656" t="str">
        <v>SI</v>
      </c>
      <c r="AN656">
        <v>654</v>
      </c>
      <c r="AO656" t="str">
        <v>CONSULTORIA</v>
      </c>
      <c r="AP656" t="str">
        <v>CLIENTE-0010</v>
      </c>
      <c r="AQ656">
        <v>300</v>
      </c>
      <c r="AR656" t="str">
        <v>SI</v>
      </c>
    </row>
    <row r="657" spans="1:44">
      <c r="A657" s="2">
        <v>656</v>
      </c>
      <c r="B657" t="s">
        <v>13</v>
      </c>
      <c r="C657" t="s">
        <v>29</v>
      </c>
      <c r="D657" t="s">
        <v>24</v>
      </c>
      <c r="E657" s="3">
        <v>300</v>
      </c>
      <c r="F657" s="4">
        <v>43947</v>
      </c>
      <c r="G657" s="2" t="s">
        <v>12</v>
      </c>
      <c r="N657">
        <v>142</v>
      </c>
      <c r="O657" t="str">
        <v>DESARROLLO</v>
      </c>
      <c r="P657" t="str">
        <v>CLIENTE-0005</v>
      </c>
      <c r="Q657" t="str">
        <v>BARCELONA</v>
      </c>
      <c r="R657" s="10">
        <v>4500</v>
      </c>
      <c r="S657">
        <v>44254</v>
      </c>
      <c r="T657" t="str">
        <v>NO</v>
      </c>
      <c r="AN657">
        <v>655</v>
      </c>
      <c r="AO657" t="str">
        <v>DESARROLLO</v>
      </c>
      <c r="AP657" t="str">
        <v>CLIENTE-0001</v>
      </c>
      <c r="AQ657">
        <v>350</v>
      </c>
      <c r="AR657" t="str">
        <v>SI</v>
      </c>
    </row>
    <row r="658" spans="1:44">
      <c r="A658" s="2">
        <v>657</v>
      </c>
      <c r="B658" t="s">
        <v>16</v>
      </c>
      <c r="C658" t="s">
        <v>26</v>
      </c>
      <c r="D658" t="s">
        <v>9</v>
      </c>
      <c r="E658" s="3">
        <v>120</v>
      </c>
      <c r="F658" s="4">
        <v>44049</v>
      </c>
      <c r="G658" s="2" t="s">
        <v>12</v>
      </c>
      <c r="N658">
        <v>165</v>
      </c>
      <c r="O658" t="str">
        <v>PROYECTO</v>
      </c>
      <c r="P658" t="str">
        <v>CLIENTE-0007</v>
      </c>
      <c r="Q658" t="str">
        <v>BARCELONA</v>
      </c>
      <c r="R658" s="10">
        <v>4500</v>
      </c>
      <c r="S658">
        <v>44244</v>
      </c>
      <c r="T658" t="str">
        <v>SI</v>
      </c>
      <c r="AN658">
        <v>656</v>
      </c>
      <c r="AO658" t="str">
        <v>PROYECTO</v>
      </c>
      <c r="AP658" t="str">
        <v>CLIENTE-0002</v>
      </c>
      <c r="AQ658">
        <v>300</v>
      </c>
      <c r="AR658" t="str">
        <v>SI</v>
      </c>
    </row>
    <row r="659" spans="1:44">
      <c r="A659" s="2">
        <v>658</v>
      </c>
      <c r="B659" t="s">
        <v>18</v>
      </c>
      <c r="C659" t="s">
        <v>11</v>
      </c>
      <c r="D659" t="s">
        <v>9</v>
      </c>
      <c r="E659" s="3">
        <v>150</v>
      </c>
      <c r="F659" s="4">
        <v>43830</v>
      </c>
      <c r="G659" s="2" t="s">
        <v>12</v>
      </c>
      <c r="N659">
        <v>199</v>
      </c>
      <c r="O659" t="str">
        <v>DESARROLLO</v>
      </c>
      <c r="P659" t="str">
        <v>CLIENTE-0009</v>
      </c>
      <c r="Q659" t="str">
        <v>ALICANTE</v>
      </c>
      <c r="R659" s="10">
        <v>4500</v>
      </c>
      <c r="S659">
        <v>43504</v>
      </c>
      <c r="T659" t="str">
        <v>SI</v>
      </c>
      <c r="AN659">
        <v>657</v>
      </c>
      <c r="AO659" t="str">
        <v>EQUIPOS</v>
      </c>
      <c r="AP659" t="str">
        <v>CLIENTE-0010</v>
      </c>
      <c r="AQ659">
        <v>120</v>
      </c>
      <c r="AR659" t="str">
        <v>SI</v>
      </c>
    </row>
    <row r="660" spans="1:44">
      <c r="A660" s="2">
        <v>659</v>
      </c>
      <c r="B660" t="s">
        <v>20</v>
      </c>
      <c r="C660" t="s">
        <v>14</v>
      </c>
      <c r="D660" t="s">
        <v>15</v>
      </c>
      <c r="E660" s="3">
        <v>8500</v>
      </c>
      <c r="F660" s="4">
        <v>43723</v>
      </c>
      <c r="G660" s="2" t="s">
        <v>12</v>
      </c>
      <c r="N660">
        <v>211</v>
      </c>
      <c r="O660" t="str">
        <v>CONSULTORIA</v>
      </c>
      <c r="P660" t="str">
        <v>CLIENTE-0001</v>
      </c>
      <c r="Q660" t="str">
        <v>MADRID</v>
      </c>
      <c r="R660" s="10">
        <v>4500</v>
      </c>
      <c r="S660">
        <v>43560</v>
      </c>
      <c r="T660" t="str">
        <v>NO</v>
      </c>
      <c r="AN660">
        <v>658</v>
      </c>
      <c r="AO660" t="str">
        <v>PROGRAMA</v>
      </c>
      <c r="AP660" t="str">
        <v>CLIENTE-0004</v>
      </c>
      <c r="AQ660">
        <v>150</v>
      </c>
      <c r="AR660" t="str">
        <v>SI</v>
      </c>
    </row>
    <row r="661" spans="1:44">
      <c r="A661" s="2">
        <v>660</v>
      </c>
      <c r="B661" t="s">
        <v>22</v>
      </c>
      <c r="C661" t="s">
        <v>14</v>
      </c>
      <c r="D661" t="s">
        <v>15</v>
      </c>
      <c r="E661" s="3">
        <v>1200</v>
      </c>
      <c r="F661" s="4">
        <v>44222</v>
      </c>
      <c r="G661" s="2" t="s">
        <v>12</v>
      </c>
      <c r="N661">
        <v>234</v>
      </c>
      <c r="O661" t="str">
        <v>FORMACION</v>
      </c>
      <c r="P661" t="str">
        <v>CLIENTE-0001</v>
      </c>
      <c r="Q661" t="str">
        <v>MADRID</v>
      </c>
      <c r="R661" s="10">
        <v>4500</v>
      </c>
      <c r="S661">
        <v>43935</v>
      </c>
      <c r="T661" t="str">
        <v>SI</v>
      </c>
      <c r="AN661">
        <v>659</v>
      </c>
      <c r="AO661" t="str">
        <v>FORMACION</v>
      </c>
      <c r="AP661" t="str">
        <v>CLIENTE-0005</v>
      </c>
      <c r="AQ661">
        <v>8500</v>
      </c>
      <c r="AR661" t="str">
        <v>SI</v>
      </c>
    </row>
    <row r="662" spans="1:44">
      <c r="A662" s="2">
        <v>661</v>
      </c>
      <c r="B662" t="s">
        <v>10</v>
      </c>
      <c r="C662" t="s">
        <v>17</v>
      </c>
      <c r="D662" t="s">
        <v>15</v>
      </c>
      <c r="E662" s="3">
        <v>300</v>
      </c>
      <c r="F662" s="4">
        <v>43835</v>
      </c>
      <c r="G662" s="2" t="s">
        <v>12</v>
      </c>
      <c r="N662">
        <v>268</v>
      </c>
      <c r="O662" t="str">
        <v>PROGRAMA</v>
      </c>
      <c r="P662" t="str">
        <v>CLIENTE-0001</v>
      </c>
      <c r="Q662" t="str">
        <v>MADRID</v>
      </c>
      <c r="R662" s="10">
        <v>4500</v>
      </c>
      <c r="S662">
        <v>44506</v>
      </c>
      <c r="T662" t="str">
        <v>SI</v>
      </c>
      <c r="AN662">
        <v>660</v>
      </c>
      <c r="AO662" t="str">
        <v>CONSULTORIA</v>
      </c>
      <c r="AP662" t="str">
        <v>CLIENTE-0005</v>
      </c>
      <c r="AQ662">
        <v>1200</v>
      </c>
      <c r="AR662" t="str">
        <v>SI</v>
      </c>
    </row>
    <row r="663" spans="1:44">
      <c r="A663" s="2">
        <v>662</v>
      </c>
      <c r="B663" t="s">
        <v>13</v>
      </c>
      <c r="C663" t="s">
        <v>19</v>
      </c>
      <c r="D663" t="s">
        <v>15</v>
      </c>
      <c r="E663" s="3">
        <v>200</v>
      </c>
      <c r="F663" s="4">
        <v>44106</v>
      </c>
      <c r="G663" s="2" t="s">
        <v>12</v>
      </c>
      <c r="N663">
        <v>277</v>
      </c>
      <c r="O663" t="str">
        <v>DESARROLLO</v>
      </c>
      <c r="P663" t="str">
        <v>CLIENTE-0008</v>
      </c>
      <c r="Q663" t="str">
        <v>ALICANTE</v>
      </c>
      <c r="R663" s="10">
        <v>4500</v>
      </c>
      <c r="S663">
        <v>43824</v>
      </c>
      <c r="T663" t="str">
        <v>NO</v>
      </c>
      <c r="AN663">
        <v>661</v>
      </c>
      <c r="AO663" t="str">
        <v>DESARROLLO</v>
      </c>
      <c r="AP663" t="str">
        <v>CLIENTE-0006</v>
      </c>
      <c r="AQ663">
        <v>300</v>
      </c>
      <c r="AR663" t="str">
        <v>SI</v>
      </c>
    </row>
    <row r="664" spans="1:44">
      <c r="A664" s="2">
        <v>663</v>
      </c>
      <c r="B664" t="s">
        <v>16</v>
      </c>
      <c r="C664" t="s">
        <v>23</v>
      </c>
      <c r="D664" t="s">
        <v>24</v>
      </c>
      <c r="E664" s="3">
        <v>150</v>
      </c>
      <c r="F664" s="4">
        <v>44433</v>
      </c>
      <c r="G664" s="2" t="s">
        <v>12</v>
      </c>
      <c r="N664">
        <v>311</v>
      </c>
      <c r="O664" t="str">
        <v>CONSULTORIA</v>
      </c>
      <c r="P664" t="str">
        <v>CLIENTE-0002</v>
      </c>
      <c r="Q664" t="str">
        <v>ALICANTE</v>
      </c>
      <c r="R664" s="10">
        <v>4500</v>
      </c>
      <c r="S664">
        <v>44060</v>
      </c>
      <c r="T664" t="str">
        <v>NO</v>
      </c>
      <c r="AN664">
        <v>662</v>
      </c>
      <c r="AO664" t="str">
        <v>PROYECTO</v>
      </c>
      <c r="AP664" t="str">
        <v>CLIENTE-0007</v>
      </c>
      <c r="AQ664">
        <v>200</v>
      </c>
      <c r="AR664" t="str">
        <v>SI</v>
      </c>
    </row>
    <row r="665" spans="1:44">
      <c r="A665" s="2">
        <v>664</v>
      </c>
      <c r="B665" t="s">
        <v>18</v>
      </c>
      <c r="C665" t="s">
        <v>25</v>
      </c>
      <c r="D665" t="s">
        <v>24</v>
      </c>
      <c r="E665" s="3">
        <v>120</v>
      </c>
      <c r="F665" s="4">
        <v>44142</v>
      </c>
      <c r="G665" s="2" t="s">
        <v>12</v>
      </c>
      <c r="N665">
        <v>323</v>
      </c>
      <c r="O665" t="str">
        <v>CONSULTORIA</v>
      </c>
      <c r="P665" t="str">
        <v>CLIENTE-0006</v>
      </c>
      <c r="Q665" t="str">
        <v>BARCELONA</v>
      </c>
      <c r="R665" s="10">
        <v>4500</v>
      </c>
      <c r="S665">
        <v>43593</v>
      </c>
      <c r="T665" t="str">
        <v>NO</v>
      </c>
      <c r="AN665">
        <v>663</v>
      </c>
      <c r="AO665" t="str">
        <v>EQUIPOS</v>
      </c>
      <c r="AP665" t="str">
        <v>CLIENTE-0008</v>
      </c>
      <c r="AQ665">
        <v>150</v>
      </c>
      <c r="AR665" t="str">
        <v>SI</v>
      </c>
    </row>
    <row r="666" spans="1:44">
      <c r="A666" s="2">
        <v>665</v>
      </c>
      <c r="B666" t="s">
        <v>20</v>
      </c>
      <c r="C666" t="s">
        <v>26</v>
      </c>
      <c r="D666" t="s">
        <v>9</v>
      </c>
      <c r="E666" s="3">
        <v>300</v>
      </c>
      <c r="F666" s="4">
        <v>44075</v>
      </c>
      <c r="G666" s="2" t="s">
        <v>12</v>
      </c>
      <c r="N666">
        <v>346</v>
      </c>
      <c r="O666" t="str">
        <v>DESARROLLO</v>
      </c>
      <c r="P666" t="str">
        <v>CLIENTE-0005</v>
      </c>
      <c r="Q666" t="str">
        <v>BARCELONA</v>
      </c>
      <c r="R666" s="10">
        <v>4500</v>
      </c>
      <c r="S666">
        <v>44525</v>
      </c>
      <c r="T666" t="str">
        <v>NO</v>
      </c>
      <c r="AN666">
        <v>664</v>
      </c>
      <c r="AO666" t="str">
        <v>PROGRAMA</v>
      </c>
      <c r="AP666" t="str">
        <v>CLIENTE-0009</v>
      </c>
      <c r="AQ666">
        <v>120</v>
      </c>
      <c r="AR666" t="str">
        <v>SI</v>
      </c>
    </row>
    <row r="667" spans="1:44">
      <c r="A667" s="2">
        <v>666</v>
      </c>
      <c r="B667" t="s">
        <v>22</v>
      </c>
      <c r="C667" t="s">
        <v>27</v>
      </c>
      <c r="D667" t="s">
        <v>9</v>
      </c>
      <c r="E667" s="3">
        <v>350</v>
      </c>
      <c r="F667" s="4">
        <v>44257</v>
      </c>
      <c r="G667" s="2" t="s">
        <v>12</v>
      </c>
      <c r="N667">
        <v>388</v>
      </c>
      <c r="O667" t="str">
        <v>PROGRAMA</v>
      </c>
      <c r="P667" t="str">
        <v>CLIENTE-0006</v>
      </c>
      <c r="Q667" t="str">
        <v>BARCELONA</v>
      </c>
      <c r="R667" s="10">
        <v>4500</v>
      </c>
      <c r="S667">
        <v>43842</v>
      </c>
      <c r="T667" t="str">
        <v>SI</v>
      </c>
      <c r="AN667">
        <v>665</v>
      </c>
      <c r="AO667" t="str">
        <v>FORMACION</v>
      </c>
      <c r="AP667" t="str">
        <v>CLIENTE-0010</v>
      </c>
      <c r="AQ667">
        <v>300</v>
      </c>
      <c r="AR667" t="str">
        <v>SI</v>
      </c>
    </row>
    <row r="668" spans="1:44">
      <c r="A668" s="2">
        <v>667</v>
      </c>
      <c r="B668" t="s">
        <v>10</v>
      </c>
      <c r="C668" t="s">
        <v>26</v>
      </c>
      <c r="D668" t="s">
        <v>9</v>
      </c>
      <c r="E668" s="3">
        <v>8500</v>
      </c>
      <c r="F668" s="4">
        <v>44112</v>
      </c>
      <c r="G668" s="2" t="s">
        <v>12</v>
      </c>
      <c r="N668">
        <v>422</v>
      </c>
      <c r="O668" t="str">
        <v>EQUIPOS</v>
      </c>
      <c r="P668" t="str">
        <v>CLIENTE-0002</v>
      </c>
      <c r="Q668" t="str">
        <v>ALICANTE</v>
      </c>
      <c r="R668" s="10">
        <v>4500</v>
      </c>
      <c r="S668">
        <v>44211</v>
      </c>
      <c r="T668" t="str">
        <v>SI</v>
      </c>
      <c r="AN668">
        <v>666</v>
      </c>
      <c r="AO668" t="str">
        <v>CONSULTORIA</v>
      </c>
      <c r="AP668" t="str">
        <v>CLIENTE-0001</v>
      </c>
      <c r="AQ668">
        <v>350</v>
      </c>
      <c r="AR668" t="str">
        <v>SI</v>
      </c>
    </row>
    <row r="669" spans="1:44">
      <c r="A669" s="2">
        <v>668</v>
      </c>
      <c r="B669" t="s">
        <v>16</v>
      </c>
      <c r="C669" t="s">
        <v>27</v>
      </c>
      <c r="D669" t="s">
        <v>9</v>
      </c>
      <c r="E669" s="3">
        <v>1200</v>
      </c>
      <c r="F669" s="4">
        <v>43517</v>
      </c>
      <c r="G669" s="2" t="s">
        <v>12</v>
      </c>
      <c r="N669">
        <v>434</v>
      </c>
      <c r="O669" t="str">
        <v>FORMACION</v>
      </c>
      <c r="P669" t="str">
        <v>CLIENTE-0007</v>
      </c>
      <c r="Q669" t="str">
        <v>BARCELONA</v>
      </c>
      <c r="R669" s="10">
        <v>4500</v>
      </c>
      <c r="S669">
        <v>43598</v>
      </c>
      <c r="T669" t="str">
        <v>SI</v>
      </c>
      <c r="AN669">
        <v>667</v>
      </c>
      <c r="AO669" t="str">
        <v>DESARROLLO</v>
      </c>
      <c r="AP669" t="str">
        <v>CLIENTE-0010</v>
      </c>
      <c r="AQ669">
        <v>8500</v>
      </c>
      <c r="AR669" t="str">
        <v>SI</v>
      </c>
    </row>
    <row r="670" spans="1:44">
      <c r="A670" s="2">
        <v>669</v>
      </c>
      <c r="B670" t="s">
        <v>18</v>
      </c>
      <c r="C670" t="s">
        <v>29</v>
      </c>
      <c r="D670" t="s">
        <v>24</v>
      </c>
      <c r="E670" s="3">
        <v>300</v>
      </c>
      <c r="F670" s="4">
        <v>43661</v>
      </c>
      <c r="G670" s="2" t="s">
        <v>12</v>
      </c>
      <c r="N670">
        <v>457</v>
      </c>
      <c r="O670" t="str">
        <v>EQUIPOS</v>
      </c>
      <c r="P670" t="str">
        <v>CLIENTE-0005</v>
      </c>
      <c r="Q670" t="str">
        <v>BARCELONA</v>
      </c>
      <c r="R670" s="10">
        <v>4500</v>
      </c>
      <c r="S670">
        <v>44298</v>
      </c>
      <c r="T670" t="str">
        <v>SI</v>
      </c>
      <c r="AN670">
        <v>668</v>
      </c>
      <c r="AO670" t="str">
        <v>EQUIPOS</v>
      </c>
      <c r="AP670" t="str">
        <v>CLIENTE-0001</v>
      </c>
      <c r="AQ670">
        <v>1200</v>
      </c>
      <c r="AR670" t="str">
        <v>SI</v>
      </c>
    </row>
    <row r="671" spans="1:44">
      <c r="A671" s="2">
        <v>670</v>
      </c>
      <c r="B671" t="s">
        <v>16</v>
      </c>
      <c r="C671" t="s">
        <v>21</v>
      </c>
      <c r="D671" t="s">
        <v>9</v>
      </c>
      <c r="E671" s="3">
        <v>200</v>
      </c>
      <c r="F671" s="4">
        <v>43646</v>
      </c>
      <c r="G671" s="2" t="s">
        <v>12</v>
      </c>
      <c r="N671">
        <v>491</v>
      </c>
      <c r="O671" t="str">
        <v>EQUIPOS</v>
      </c>
      <c r="P671" t="str">
        <v>CLIENTE-0001</v>
      </c>
      <c r="Q671" t="str">
        <v>MADRID</v>
      </c>
      <c r="R671" s="10">
        <v>4500</v>
      </c>
      <c r="S671">
        <v>43756</v>
      </c>
      <c r="T671" t="str">
        <v>SI</v>
      </c>
      <c r="AN671">
        <v>669</v>
      </c>
      <c r="AO671" t="str">
        <v>PROGRAMA</v>
      </c>
      <c r="AP671" t="str">
        <v>CLIENTE-0002</v>
      </c>
      <c r="AQ671">
        <v>300</v>
      </c>
      <c r="AR671" t="str">
        <v>SI</v>
      </c>
    </row>
    <row r="672" spans="1:44">
      <c r="A672" s="2">
        <v>671</v>
      </c>
      <c r="B672" t="s">
        <v>18</v>
      </c>
      <c r="C672" t="s">
        <v>11</v>
      </c>
      <c r="D672" t="s">
        <v>9</v>
      </c>
      <c r="E672" s="3">
        <v>150</v>
      </c>
      <c r="F672" s="4">
        <v>44376</v>
      </c>
      <c r="G672" s="2" t="s">
        <v>28</v>
      </c>
      <c r="N672">
        <v>503</v>
      </c>
      <c r="O672" t="str">
        <v>PROYECTO</v>
      </c>
      <c r="P672" t="str">
        <v>CLIENTE-0005</v>
      </c>
      <c r="Q672" t="str">
        <v>BARCELONA</v>
      </c>
      <c r="R672" s="10">
        <v>4500</v>
      </c>
      <c r="S672">
        <v>44182</v>
      </c>
      <c r="T672" t="str">
        <v>SI</v>
      </c>
      <c r="AN672">
        <v>670</v>
      </c>
      <c r="AO672" t="str">
        <v>EQUIPOS</v>
      </c>
      <c r="AP672" t="str">
        <v>CLIENTE-0003</v>
      </c>
      <c r="AQ672">
        <v>200</v>
      </c>
      <c r="AR672" t="str">
        <v>SI</v>
      </c>
    </row>
    <row r="673" spans="1:44">
      <c r="A673" s="2">
        <v>672</v>
      </c>
      <c r="B673" t="s">
        <v>20</v>
      </c>
      <c r="C673" t="s">
        <v>14</v>
      </c>
      <c r="D673" t="s">
        <v>15</v>
      </c>
      <c r="E673" s="3">
        <v>120</v>
      </c>
      <c r="F673" s="4">
        <v>44219</v>
      </c>
      <c r="G673" s="2" t="s">
        <v>28</v>
      </c>
      <c r="N673">
        <v>526</v>
      </c>
      <c r="O673" t="str">
        <v>CONSULTORIA</v>
      </c>
      <c r="P673" t="str">
        <v>CLIENTE-0004</v>
      </c>
      <c r="Q673" t="str">
        <v>MADRID</v>
      </c>
      <c r="R673" s="10">
        <v>4500</v>
      </c>
      <c r="S673">
        <v>43527</v>
      </c>
      <c r="T673" t="str">
        <v>SI</v>
      </c>
      <c r="AN673">
        <v>671</v>
      </c>
      <c r="AO673" t="str">
        <v>PROGRAMA</v>
      </c>
      <c r="AP673" t="str">
        <v>CLIENTE-0004</v>
      </c>
      <c r="AQ673">
        <v>150</v>
      </c>
      <c r="AR673" t="str">
        <v>NO</v>
      </c>
    </row>
    <row r="674" spans="1:44">
      <c r="A674" s="2">
        <v>673</v>
      </c>
      <c r="B674" t="s">
        <v>22</v>
      </c>
      <c r="C674" t="s">
        <v>17</v>
      </c>
      <c r="D674" t="s">
        <v>15</v>
      </c>
      <c r="E674" s="3">
        <v>300</v>
      </c>
      <c r="F674" s="4">
        <v>43918</v>
      </c>
      <c r="G674" s="2" t="s">
        <v>28</v>
      </c>
      <c r="N674">
        <v>560</v>
      </c>
      <c r="O674" t="str">
        <v>CONSULTORIA</v>
      </c>
      <c r="P674" t="str">
        <v>CLIENTE-0005</v>
      </c>
      <c r="Q674" t="str">
        <v>BARCELONA</v>
      </c>
      <c r="R674" s="10">
        <v>4500</v>
      </c>
      <c r="S674">
        <v>44062</v>
      </c>
      <c r="T674" t="str">
        <v>SI</v>
      </c>
      <c r="AN674">
        <v>672</v>
      </c>
      <c r="AO674" t="str">
        <v>FORMACION</v>
      </c>
      <c r="AP674" t="str">
        <v>CLIENTE-0005</v>
      </c>
      <c r="AQ674">
        <v>120</v>
      </c>
      <c r="AR674" t="str">
        <v>NO</v>
      </c>
    </row>
    <row r="675" spans="1:44">
      <c r="A675" s="2">
        <v>674</v>
      </c>
      <c r="B675" t="s">
        <v>10</v>
      </c>
      <c r="C675" t="s">
        <v>19</v>
      </c>
      <c r="D675" t="s">
        <v>15</v>
      </c>
      <c r="E675" s="3">
        <v>350</v>
      </c>
      <c r="F675" s="4">
        <v>44342</v>
      </c>
      <c r="G675" s="2" t="s">
        <v>28</v>
      </c>
      <c r="N675">
        <v>572</v>
      </c>
      <c r="O675" t="str">
        <v>CONSULTORIA</v>
      </c>
      <c r="P675" t="str">
        <v>CLIENTE-0009</v>
      </c>
      <c r="Q675" t="str">
        <v>ALICANTE</v>
      </c>
      <c r="R675" s="10">
        <v>4500</v>
      </c>
      <c r="S675">
        <v>44391</v>
      </c>
      <c r="T675" t="str">
        <v>SI</v>
      </c>
      <c r="AN675">
        <v>673</v>
      </c>
      <c r="AO675" t="str">
        <v>CONSULTORIA</v>
      </c>
      <c r="AP675" t="str">
        <v>CLIENTE-0006</v>
      </c>
      <c r="AQ675">
        <v>300</v>
      </c>
      <c r="AR675" t="str">
        <v>NO</v>
      </c>
    </row>
    <row r="676" spans="1:44">
      <c r="A676" s="2">
        <v>675</v>
      </c>
      <c r="B676" t="s">
        <v>13</v>
      </c>
      <c r="C676" t="s">
        <v>23</v>
      </c>
      <c r="D676" t="s">
        <v>24</v>
      </c>
      <c r="E676" s="3">
        <v>300</v>
      </c>
      <c r="F676" s="4">
        <v>43813</v>
      </c>
      <c r="G676" s="2" t="s">
        <v>28</v>
      </c>
      <c r="N676">
        <v>595</v>
      </c>
      <c r="O676" t="str">
        <v>CONSULTORIA</v>
      </c>
      <c r="P676" t="str">
        <v>CLIENTE-0010</v>
      </c>
      <c r="Q676" t="str">
        <v>MADRID</v>
      </c>
      <c r="R676" s="10">
        <v>4500</v>
      </c>
      <c r="S676">
        <v>44184</v>
      </c>
      <c r="T676" t="str">
        <v>SI</v>
      </c>
      <c r="AN676">
        <v>674</v>
      </c>
      <c r="AO676" t="str">
        <v>DESARROLLO</v>
      </c>
      <c r="AP676" t="str">
        <v>CLIENTE-0007</v>
      </c>
      <c r="AQ676">
        <v>350</v>
      </c>
      <c r="AR676" t="str">
        <v>NO</v>
      </c>
    </row>
    <row r="677" spans="1:44">
      <c r="A677" s="2">
        <v>676</v>
      </c>
      <c r="B677" t="s">
        <v>16</v>
      </c>
      <c r="C677" t="s">
        <v>25</v>
      </c>
      <c r="D677" t="s">
        <v>24</v>
      </c>
      <c r="E677" s="3">
        <v>120</v>
      </c>
      <c r="F677" s="4">
        <v>44215</v>
      </c>
      <c r="G677" s="2" t="s">
        <v>28</v>
      </c>
      <c r="N677">
        <v>629</v>
      </c>
      <c r="O677" t="str">
        <v>EQUIPOS</v>
      </c>
      <c r="P677" t="str">
        <v>CLIENTE-0009</v>
      </c>
      <c r="Q677" t="str">
        <v>ALICANTE</v>
      </c>
      <c r="R677" s="10">
        <v>4500</v>
      </c>
      <c r="S677">
        <v>43683</v>
      </c>
      <c r="T677" t="str">
        <v>SI</v>
      </c>
      <c r="AN677">
        <v>675</v>
      </c>
      <c r="AO677" t="str">
        <v>PROYECTO</v>
      </c>
      <c r="AP677" t="str">
        <v>CLIENTE-0008</v>
      </c>
      <c r="AQ677">
        <v>300</v>
      </c>
      <c r="AR677" t="str">
        <v>NO</v>
      </c>
    </row>
    <row r="678" spans="1:44">
      <c r="A678" s="2">
        <v>677</v>
      </c>
      <c r="B678" t="s">
        <v>22</v>
      </c>
      <c r="C678" t="s">
        <v>26</v>
      </c>
      <c r="D678" t="s">
        <v>9</v>
      </c>
      <c r="E678" s="3">
        <v>150</v>
      </c>
      <c r="F678" s="4">
        <v>43742</v>
      </c>
      <c r="G678" s="2" t="s">
        <v>28</v>
      </c>
      <c r="N678">
        <v>639</v>
      </c>
      <c r="O678" t="str">
        <v>DESARROLLO</v>
      </c>
      <c r="P678" t="str">
        <v>CLIENTE-0001</v>
      </c>
      <c r="Q678" t="str">
        <v>MADRID</v>
      </c>
      <c r="R678" s="10">
        <v>4500</v>
      </c>
      <c r="S678">
        <v>43510</v>
      </c>
      <c r="T678" t="str">
        <v>SI</v>
      </c>
      <c r="AN678">
        <v>676</v>
      </c>
      <c r="AO678" t="str">
        <v>EQUIPOS</v>
      </c>
      <c r="AP678" t="str">
        <v>CLIENTE-0009</v>
      </c>
      <c r="AQ678">
        <v>120</v>
      </c>
      <c r="AR678" t="str">
        <v>NO</v>
      </c>
    </row>
    <row r="679" spans="1:44">
      <c r="A679" s="2">
        <v>678</v>
      </c>
      <c r="B679" t="s">
        <v>10</v>
      </c>
      <c r="C679" t="s">
        <v>11</v>
      </c>
      <c r="D679" t="s">
        <v>9</v>
      </c>
      <c r="E679" s="3">
        <v>1200</v>
      </c>
      <c r="F679" s="4">
        <v>43468</v>
      </c>
      <c r="G679" s="2" t="s">
        <v>12</v>
      </c>
      <c r="N679">
        <v>681</v>
      </c>
      <c r="O679" t="str">
        <v>PROGRAMA</v>
      </c>
      <c r="P679" t="str">
        <v>CLIENTE-0007</v>
      </c>
      <c r="Q679" t="str">
        <v>BARCELONA</v>
      </c>
      <c r="R679" s="10">
        <v>4500</v>
      </c>
      <c r="S679">
        <v>43796</v>
      </c>
      <c r="T679" t="str">
        <v>SI</v>
      </c>
      <c r="AN679">
        <v>677</v>
      </c>
      <c r="AO679" t="str">
        <v>CONSULTORIA</v>
      </c>
      <c r="AP679" t="str">
        <v>CLIENTE-0010</v>
      </c>
      <c r="AQ679">
        <v>150</v>
      </c>
      <c r="AR679" t="str">
        <v>NO</v>
      </c>
    </row>
    <row r="680" spans="1:44">
      <c r="A680" s="2">
        <v>679</v>
      </c>
      <c r="B680" t="s">
        <v>13</v>
      </c>
      <c r="C680" t="s">
        <v>14</v>
      </c>
      <c r="D680" t="s">
        <v>15</v>
      </c>
      <c r="E680" s="3">
        <v>800</v>
      </c>
      <c r="F680" s="4">
        <v>44067</v>
      </c>
      <c r="G680" s="2" t="s">
        <v>12</v>
      </c>
      <c r="N680">
        <v>715</v>
      </c>
      <c r="O680" t="str">
        <v>PROGRAMA</v>
      </c>
      <c r="P680" t="str">
        <v>CLIENTE-0003</v>
      </c>
      <c r="Q680" t="str">
        <v>MADRID</v>
      </c>
      <c r="R680" s="10">
        <v>4500</v>
      </c>
      <c r="S680">
        <v>44003</v>
      </c>
      <c r="T680" t="str">
        <v>NO</v>
      </c>
      <c r="AN680">
        <v>678</v>
      </c>
      <c r="AO680" t="str">
        <v>DESARROLLO</v>
      </c>
      <c r="AP680" t="str">
        <v>CLIENTE-0004</v>
      </c>
      <c r="AQ680">
        <v>1200</v>
      </c>
      <c r="AR680" t="str">
        <v>SI</v>
      </c>
    </row>
    <row r="681" spans="1:44">
      <c r="A681" s="2">
        <v>680</v>
      </c>
      <c r="B681" t="s">
        <v>16</v>
      </c>
      <c r="C681" t="s">
        <v>17</v>
      </c>
      <c r="D681" t="s">
        <v>15</v>
      </c>
      <c r="E681" s="3">
        <v>750</v>
      </c>
      <c r="F681" s="4">
        <v>43646</v>
      </c>
      <c r="G681" s="2" t="s">
        <v>12</v>
      </c>
      <c r="N681">
        <v>727</v>
      </c>
      <c r="O681" t="str">
        <v>PROGRAMA</v>
      </c>
      <c r="P681" t="str">
        <v>CLIENTE-0003</v>
      </c>
      <c r="Q681" t="str">
        <v>MADRID</v>
      </c>
      <c r="R681" s="10">
        <v>4500</v>
      </c>
      <c r="S681">
        <v>44271</v>
      </c>
      <c r="T681" t="str">
        <v>SI</v>
      </c>
      <c r="AN681">
        <v>679</v>
      </c>
      <c r="AO681" t="str">
        <v>PROYECTO</v>
      </c>
      <c r="AP681" t="str">
        <v>CLIENTE-0005</v>
      </c>
      <c r="AQ681">
        <v>800</v>
      </c>
      <c r="AR681" t="str">
        <v>SI</v>
      </c>
    </row>
    <row r="682" spans="1:44">
      <c r="A682" s="2">
        <v>681</v>
      </c>
      <c r="B682" t="s">
        <v>18</v>
      </c>
      <c r="C682" t="s">
        <v>19</v>
      </c>
      <c r="D682" t="s">
        <v>15</v>
      </c>
      <c r="E682" s="3">
        <v>4500</v>
      </c>
      <c r="F682" s="4">
        <v>43796</v>
      </c>
      <c r="G682" s="2" t="s">
        <v>12</v>
      </c>
      <c r="N682">
        <v>746</v>
      </c>
      <c r="O682" t="str">
        <v>CONSULTORIA</v>
      </c>
      <c r="P682" t="str">
        <v>CLIENTE-0005</v>
      </c>
      <c r="Q682" t="str">
        <v>BARCELONA</v>
      </c>
      <c r="R682" s="10">
        <v>4500</v>
      </c>
      <c r="S682">
        <v>44038</v>
      </c>
      <c r="T682" t="str">
        <v>NO</v>
      </c>
      <c r="AN682">
        <v>680</v>
      </c>
      <c r="AO682" t="str">
        <v>EQUIPOS</v>
      </c>
      <c r="AP682" t="str">
        <v>CLIENTE-0006</v>
      </c>
      <c r="AQ682">
        <v>750</v>
      </c>
      <c r="AR682" t="str">
        <v>SI</v>
      </c>
    </row>
    <row r="683" spans="1:44">
      <c r="A683" s="2">
        <v>682</v>
      </c>
      <c r="B683" t="s">
        <v>20</v>
      </c>
      <c r="C683" t="s">
        <v>21</v>
      </c>
      <c r="D683" t="s">
        <v>9</v>
      </c>
      <c r="E683" s="3">
        <v>500</v>
      </c>
      <c r="F683" s="4">
        <v>44079</v>
      </c>
      <c r="G683" s="2" t="s">
        <v>12</v>
      </c>
      <c r="N683">
        <v>11</v>
      </c>
      <c r="O683" t="str">
        <v>FORMACION</v>
      </c>
      <c r="P683" t="str">
        <v>CLIENTE-0008</v>
      </c>
      <c r="Q683" t="str">
        <v>ALICANTE</v>
      </c>
      <c r="R683" s="10">
        <v>5000</v>
      </c>
      <c r="S683">
        <v>44050</v>
      </c>
      <c r="T683" t="str">
        <v>SI</v>
      </c>
      <c r="AN683">
        <v>681</v>
      </c>
      <c r="AO683" t="str">
        <v>PROGRAMA</v>
      </c>
      <c r="AP683" t="str">
        <v>CLIENTE-0007</v>
      </c>
      <c r="AQ683">
        <v>4500</v>
      </c>
      <c r="AR683" t="str">
        <v>SI</v>
      </c>
    </row>
    <row r="684" spans="1:44">
      <c r="A684" s="2">
        <v>683</v>
      </c>
      <c r="B684" t="s">
        <v>22</v>
      </c>
      <c r="C684" t="s">
        <v>11</v>
      </c>
      <c r="D684" t="s">
        <v>9</v>
      </c>
      <c r="E684" s="3">
        <v>750</v>
      </c>
      <c r="F684" s="4">
        <v>44470</v>
      </c>
      <c r="G684" s="2" t="s">
        <v>12</v>
      </c>
      <c r="N684">
        <v>34</v>
      </c>
      <c r="O684" t="str">
        <v>EQUIPOS</v>
      </c>
      <c r="P684" t="str">
        <v>CLIENTE-0001</v>
      </c>
      <c r="Q684" t="str">
        <v>MADRID</v>
      </c>
      <c r="R684" s="10">
        <v>5000</v>
      </c>
      <c r="S684">
        <v>44466</v>
      </c>
      <c r="T684" t="str">
        <v>SI</v>
      </c>
      <c r="AN684">
        <v>682</v>
      </c>
      <c r="AO684" t="str">
        <v>FORMACION</v>
      </c>
      <c r="AP684" t="str">
        <v>CLIENTE-0003</v>
      </c>
      <c r="AQ684">
        <v>500</v>
      </c>
      <c r="AR684" t="str">
        <v>SI</v>
      </c>
    </row>
    <row r="685" spans="1:44">
      <c r="A685" s="2">
        <v>684</v>
      </c>
      <c r="B685" t="s">
        <v>10</v>
      </c>
      <c r="C685" t="s">
        <v>14</v>
      </c>
      <c r="D685" t="s">
        <v>15</v>
      </c>
      <c r="E685" s="3">
        <v>950</v>
      </c>
      <c r="F685" s="4">
        <v>43923</v>
      </c>
      <c r="G685" s="2" t="s">
        <v>12</v>
      </c>
      <c r="N685">
        <v>68</v>
      </c>
      <c r="O685" t="str">
        <v>EQUIPOS</v>
      </c>
      <c r="P685" t="str">
        <v>CLIENTE-0008</v>
      </c>
      <c r="Q685" t="str">
        <v>ALICANTE</v>
      </c>
      <c r="R685" s="10">
        <v>5000</v>
      </c>
      <c r="S685">
        <v>43942</v>
      </c>
      <c r="T685" t="str">
        <v>SI</v>
      </c>
      <c r="AN685">
        <v>683</v>
      </c>
      <c r="AO685" t="str">
        <v>CONSULTORIA</v>
      </c>
      <c r="AP685" t="str">
        <v>CLIENTE-0004</v>
      </c>
      <c r="AQ685">
        <v>750</v>
      </c>
      <c r="AR685" t="str">
        <v>SI</v>
      </c>
    </row>
    <row r="686" spans="1:44">
      <c r="A686" s="2">
        <v>685</v>
      </c>
      <c r="B686" t="s">
        <v>13</v>
      </c>
      <c r="C686" t="s">
        <v>14</v>
      </c>
      <c r="D686" t="s">
        <v>15</v>
      </c>
      <c r="E686" s="3">
        <v>680</v>
      </c>
      <c r="F686" s="4">
        <v>43553</v>
      </c>
      <c r="G686" s="2" t="s">
        <v>12</v>
      </c>
      <c r="N686">
        <v>80</v>
      </c>
      <c r="O686" t="str">
        <v>FORMACION</v>
      </c>
      <c r="P686" t="str">
        <v>CLIENTE-0010</v>
      </c>
      <c r="Q686" t="str">
        <v>MADRID</v>
      </c>
      <c r="R686" s="10">
        <v>5000</v>
      </c>
      <c r="S686">
        <v>44287</v>
      </c>
      <c r="T686" t="str">
        <v>SI</v>
      </c>
      <c r="AN686">
        <v>684</v>
      </c>
      <c r="AO686" t="str">
        <v>DESARROLLO</v>
      </c>
      <c r="AP686" t="str">
        <v>CLIENTE-0005</v>
      </c>
      <c r="AQ686">
        <v>950</v>
      </c>
      <c r="AR686" t="str">
        <v>SI</v>
      </c>
    </row>
    <row r="687" spans="1:44">
      <c r="A687" s="2">
        <v>686</v>
      </c>
      <c r="B687" t="s">
        <v>16</v>
      </c>
      <c r="C687" t="s">
        <v>17</v>
      </c>
      <c r="D687" t="s">
        <v>15</v>
      </c>
      <c r="E687" s="3">
        <v>950</v>
      </c>
      <c r="F687" s="4">
        <v>43660</v>
      </c>
      <c r="G687" s="2" t="s">
        <v>12</v>
      </c>
      <c r="N687">
        <v>103</v>
      </c>
      <c r="O687" t="str">
        <v>EQUIPOS</v>
      </c>
      <c r="P687" t="str">
        <v>CLIENTE-0010</v>
      </c>
      <c r="Q687" t="str">
        <v>MADRID</v>
      </c>
      <c r="R687" s="10">
        <v>5000</v>
      </c>
      <c r="S687">
        <v>43869</v>
      </c>
      <c r="T687" t="str">
        <v>SI</v>
      </c>
      <c r="AN687">
        <v>685</v>
      </c>
      <c r="AO687" t="str">
        <v>PROYECTO</v>
      </c>
      <c r="AP687" t="str">
        <v>CLIENTE-0005</v>
      </c>
      <c r="AQ687">
        <v>680</v>
      </c>
      <c r="AR687" t="str">
        <v>SI</v>
      </c>
    </row>
    <row r="688" spans="1:44">
      <c r="A688" s="2">
        <v>687</v>
      </c>
      <c r="B688" t="s">
        <v>18</v>
      </c>
      <c r="C688" t="s">
        <v>19</v>
      </c>
      <c r="D688" t="s">
        <v>15</v>
      </c>
      <c r="E688" s="3">
        <v>1500</v>
      </c>
      <c r="F688" s="4">
        <v>44087</v>
      </c>
      <c r="G688" s="2" t="s">
        <v>12</v>
      </c>
      <c r="N688">
        <v>137</v>
      </c>
      <c r="O688" t="str">
        <v>PROYECTO</v>
      </c>
      <c r="P688" t="str">
        <v>CLIENTE-0005</v>
      </c>
      <c r="Q688" t="str">
        <v>BARCELONA</v>
      </c>
      <c r="R688" s="10">
        <v>5000</v>
      </c>
      <c r="S688">
        <v>44195</v>
      </c>
      <c r="T688" t="str">
        <v>SI</v>
      </c>
      <c r="AN688">
        <v>686</v>
      </c>
      <c r="AO688" t="str">
        <v>EQUIPOS</v>
      </c>
      <c r="AP688" t="str">
        <v>CLIENTE-0006</v>
      </c>
      <c r="AQ688">
        <v>950</v>
      </c>
      <c r="AR688" t="str">
        <v>SI</v>
      </c>
    </row>
    <row r="689" spans="1:44">
      <c r="A689" s="2">
        <v>688</v>
      </c>
      <c r="B689" t="s">
        <v>20</v>
      </c>
      <c r="C689" t="s">
        <v>23</v>
      </c>
      <c r="D689" t="s">
        <v>24</v>
      </c>
      <c r="E689" s="3">
        <v>5000</v>
      </c>
      <c r="F689" s="4">
        <v>44312</v>
      </c>
      <c r="G689" s="2" t="s">
        <v>12</v>
      </c>
      <c r="N689">
        <v>149</v>
      </c>
      <c r="O689" t="str">
        <v>PROYECTO</v>
      </c>
      <c r="P689" t="str">
        <v>CLIENTE-0001</v>
      </c>
      <c r="Q689" t="str">
        <v>MADRID</v>
      </c>
      <c r="R689" s="10">
        <v>5000</v>
      </c>
      <c r="S689">
        <v>44273</v>
      </c>
      <c r="T689" t="str">
        <v>SI</v>
      </c>
      <c r="AN689">
        <v>687</v>
      </c>
      <c r="AO689" t="str">
        <v>PROGRAMA</v>
      </c>
      <c r="AP689" t="str">
        <v>CLIENTE-0007</v>
      </c>
      <c r="AQ689">
        <v>1500</v>
      </c>
      <c r="AR689" t="str">
        <v>SI</v>
      </c>
    </row>
    <row r="690" spans="1:44">
      <c r="A690" s="2">
        <v>689</v>
      </c>
      <c r="B690" t="s">
        <v>22</v>
      </c>
      <c r="C690" t="s">
        <v>25</v>
      </c>
      <c r="D690" t="s">
        <v>24</v>
      </c>
      <c r="E690" s="3">
        <v>6500</v>
      </c>
      <c r="F690" s="4">
        <v>43585</v>
      </c>
      <c r="G690" s="2" t="s">
        <v>12</v>
      </c>
      <c r="N690">
        <v>172</v>
      </c>
      <c r="O690" t="str">
        <v>EQUIPOS</v>
      </c>
      <c r="P690" t="str">
        <v>CLIENTE-0002</v>
      </c>
      <c r="Q690" t="str">
        <v>ALICANTE</v>
      </c>
      <c r="R690" s="10">
        <v>5000</v>
      </c>
      <c r="S690">
        <v>43822</v>
      </c>
      <c r="T690" t="str">
        <v>SI</v>
      </c>
      <c r="AN690">
        <v>688</v>
      </c>
      <c r="AO690" t="str">
        <v>FORMACION</v>
      </c>
      <c r="AP690" t="str">
        <v>CLIENTE-0008</v>
      </c>
      <c r="AQ690">
        <v>5000</v>
      </c>
      <c r="AR690" t="str">
        <v>SI</v>
      </c>
    </row>
    <row r="691" spans="1:44">
      <c r="A691" s="2">
        <v>690</v>
      </c>
      <c r="B691" t="s">
        <v>10</v>
      </c>
      <c r="C691" t="s">
        <v>26</v>
      </c>
      <c r="D691" t="s">
        <v>9</v>
      </c>
      <c r="E691" s="3">
        <v>8500</v>
      </c>
      <c r="F691" s="4">
        <v>43910</v>
      </c>
      <c r="G691" s="2" t="s">
        <v>12</v>
      </c>
      <c r="N691">
        <v>206</v>
      </c>
      <c r="O691" t="str">
        <v>FORMACION</v>
      </c>
      <c r="P691" t="str">
        <v>CLIENTE-0008</v>
      </c>
      <c r="Q691" t="str">
        <v>ALICANTE</v>
      </c>
      <c r="R691" s="10">
        <v>5000</v>
      </c>
      <c r="S691">
        <v>43782</v>
      </c>
      <c r="T691" t="str">
        <v>SI</v>
      </c>
      <c r="AN691">
        <v>689</v>
      </c>
      <c r="AO691" t="str">
        <v>CONSULTORIA</v>
      </c>
      <c r="AP691" t="str">
        <v>CLIENTE-0009</v>
      </c>
      <c r="AQ691">
        <v>6500</v>
      </c>
      <c r="AR691" t="str">
        <v>SI</v>
      </c>
    </row>
    <row r="692" spans="1:44">
      <c r="A692" s="2">
        <v>691</v>
      </c>
      <c r="B692" t="s">
        <v>13</v>
      </c>
      <c r="C692" t="s">
        <v>27</v>
      </c>
      <c r="D692" t="s">
        <v>9</v>
      </c>
      <c r="E692" s="3">
        <v>1200</v>
      </c>
      <c r="F692" s="4">
        <v>44476</v>
      </c>
      <c r="G692" s="2" t="s">
        <v>12</v>
      </c>
      <c r="N692">
        <v>218</v>
      </c>
      <c r="O692" t="str">
        <v>DESARROLLO</v>
      </c>
      <c r="P692" t="str">
        <v>CLIENTE-0008</v>
      </c>
      <c r="Q692" t="str">
        <v>ALICANTE</v>
      </c>
      <c r="R692" s="10">
        <v>5000</v>
      </c>
      <c r="S692">
        <v>43813</v>
      </c>
      <c r="T692" t="str">
        <v>SI</v>
      </c>
      <c r="AN692">
        <v>690</v>
      </c>
      <c r="AO692" t="str">
        <v>DESARROLLO</v>
      </c>
      <c r="AP692" t="str">
        <v>CLIENTE-0010</v>
      </c>
      <c r="AQ692">
        <v>8500</v>
      </c>
      <c r="AR692" t="str">
        <v>SI</v>
      </c>
    </row>
    <row r="693" spans="1:44">
      <c r="A693" s="2">
        <v>692</v>
      </c>
      <c r="B693" t="s">
        <v>16</v>
      </c>
      <c r="C693" t="s">
        <v>26</v>
      </c>
      <c r="D693" t="s">
        <v>9</v>
      </c>
      <c r="E693" s="3">
        <v>300</v>
      </c>
      <c r="F693" s="4">
        <v>43485</v>
      </c>
      <c r="G693" s="2" t="s">
        <v>12</v>
      </c>
      <c r="N693">
        <v>241</v>
      </c>
      <c r="O693" t="str">
        <v>CONSULTORIA</v>
      </c>
      <c r="P693" t="str">
        <v>CLIENTE-0006</v>
      </c>
      <c r="Q693" t="str">
        <v>BARCELONA</v>
      </c>
      <c r="R693" s="10">
        <v>5000</v>
      </c>
      <c r="S693">
        <v>44340</v>
      </c>
      <c r="T693" t="str">
        <v>SI</v>
      </c>
      <c r="AN693">
        <v>691</v>
      </c>
      <c r="AO693" t="str">
        <v>PROYECTO</v>
      </c>
      <c r="AP693" t="str">
        <v>CLIENTE-0001</v>
      </c>
      <c r="AQ693">
        <v>1200</v>
      </c>
      <c r="AR693" t="str">
        <v>SI</v>
      </c>
    </row>
    <row r="694" spans="1:44">
      <c r="A694" s="2">
        <v>693</v>
      </c>
      <c r="B694" t="s">
        <v>18</v>
      </c>
      <c r="C694" t="s">
        <v>27</v>
      </c>
      <c r="D694" t="s">
        <v>9</v>
      </c>
      <c r="E694" s="3">
        <v>200</v>
      </c>
      <c r="F694" s="4">
        <v>43582</v>
      </c>
      <c r="G694" s="2" t="s">
        <v>12</v>
      </c>
      <c r="N694">
        <v>275</v>
      </c>
      <c r="O694" t="str">
        <v>FORMACION</v>
      </c>
      <c r="P694" t="str">
        <v>CLIENTE-0006</v>
      </c>
      <c r="Q694" t="str">
        <v>BARCELONA</v>
      </c>
      <c r="R694" s="10">
        <v>5000</v>
      </c>
      <c r="S694">
        <v>43578</v>
      </c>
      <c r="T694" t="str">
        <v>SI</v>
      </c>
      <c r="AN694">
        <v>692</v>
      </c>
      <c r="AO694" t="str">
        <v>EQUIPOS</v>
      </c>
      <c r="AP694" t="str">
        <v>CLIENTE-0010</v>
      </c>
      <c r="AQ694">
        <v>300</v>
      </c>
      <c r="AR694" t="str">
        <v>SI</v>
      </c>
    </row>
    <row r="695" spans="1:44">
      <c r="A695" s="2">
        <v>694</v>
      </c>
      <c r="B695" t="s">
        <v>20</v>
      </c>
      <c r="C695" t="s">
        <v>29</v>
      </c>
      <c r="D695" t="s">
        <v>24</v>
      </c>
      <c r="E695" s="3">
        <v>150</v>
      </c>
      <c r="F695" s="4">
        <v>44460</v>
      </c>
      <c r="G695" s="2" t="s">
        <v>12</v>
      </c>
      <c r="N695">
        <v>284</v>
      </c>
      <c r="O695" t="str">
        <v>PROGRAMA</v>
      </c>
      <c r="P695" t="str">
        <v>CLIENTE-0007</v>
      </c>
      <c r="Q695" t="str">
        <v>BARCELONA</v>
      </c>
      <c r="R695" s="10">
        <v>5000</v>
      </c>
      <c r="S695">
        <v>43948</v>
      </c>
      <c r="T695" t="str">
        <v>SI</v>
      </c>
      <c r="AN695">
        <v>693</v>
      </c>
      <c r="AO695" t="str">
        <v>PROGRAMA</v>
      </c>
      <c r="AP695" t="str">
        <v>CLIENTE-0001</v>
      </c>
      <c r="AQ695">
        <v>200</v>
      </c>
      <c r="AR695" t="str">
        <v>SI</v>
      </c>
    </row>
    <row r="696" spans="1:44">
      <c r="A696" s="2">
        <v>695</v>
      </c>
      <c r="B696" t="s">
        <v>22</v>
      </c>
      <c r="C696" t="s">
        <v>21</v>
      </c>
      <c r="D696" t="s">
        <v>9</v>
      </c>
      <c r="E696" s="3">
        <v>120</v>
      </c>
      <c r="F696" s="4">
        <v>44359</v>
      </c>
      <c r="G696" s="2" t="s">
        <v>12</v>
      </c>
      <c r="N696">
        <v>318</v>
      </c>
      <c r="O696" t="str">
        <v>DESARROLLO</v>
      </c>
      <c r="P696" t="str">
        <v>CLIENTE-0009</v>
      </c>
      <c r="Q696" t="str">
        <v>ALICANTE</v>
      </c>
      <c r="R696" s="10">
        <v>5000</v>
      </c>
      <c r="S696">
        <v>43955</v>
      </c>
      <c r="T696" t="str">
        <v>SI</v>
      </c>
      <c r="AN696">
        <v>694</v>
      </c>
      <c r="AO696" t="str">
        <v>FORMACION</v>
      </c>
      <c r="AP696" t="str">
        <v>CLIENTE-0002</v>
      </c>
      <c r="AQ696">
        <v>150</v>
      </c>
      <c r="AR696" t="str">
        <v>SI</v>
      </c>
    </row>
    <row r="697" spans="1:44">
      <c r="A697" s="2">
        <v>696</v>
      </c>
      <c r="B697" t="s">
        <v>10</v>
      </c>
      <c r="C697" t="s">
        <v>11</v>
      </c>
      <c r="D697" t="s">
        <v>9</v>
      </c>
      <c r="E697" s="3">
        <v>300</v>
      </c>
      <c r="F697" s="4">
        <v>43820</v>
      </c>
      <c r="G697" s="2" t="s">
        <v>12</v>
      </c>
      <c r="N697">
        <v>330</v>
      </c>
      <c r="O697" t="str">
        <v>DESARROLLO</v>
      </c>
      <c r="P697" t="str">
        <v>CLIENTE-0001</v>
      </c>
      <c r="Q697" t="str">
        <v>MADRID</v>
      </c>
      <c r="R697" s="10">
        <v>5000</v>
      </c>
      <c r="S697">
        <v>44459</v>
      </c>
      <c r="T697" t="str">
        <v>SI</v>
      </c>
      <c r="AN697">
        <v>695</v>
      </c>
      <c r="AO697" t="str">
        <v>CONSULTORIA</v>
      </c>
      <c r="AP697" t="str">
        <v>CLIENTE-0003</v>
      </c>
      <c r="AQ697">
        <v>120</v>
      </c>
      <c r="AR697" t="str">
        <v>SI</v>
      </c>
    </row>
    <row r="698" spans="1:44">
      <c r="A698" s="2">
        <v>697</v>
      </c>
      <c r="B698" t="s">
        <v>13</v>
      </c>
      <c r="C698" t="s">
        <v>14</v>
      </c>
      <c r="D698" t="s">
        <v>15</v>
      </c>
      <c r="E698" s="3">
        <v>350</v>
      </c>
      <c r="F698" s="4">
        <v>44518</v>
      </c>
      <c r="G698" s="2" t="s">
        <v>12</v>
      </c>
      <c r="N698">
        <v>353</v>
      </c>
      <c r="O698" t="str">
        <v>EQUIPOS</v>
      </c>
      <c r="P698" t="str">
        <v>CLIENTE-0001</v>
      </c>
      <c r="Q698" t="str">
        <v>MADRID</v>
      </c>
      <c r="R698" s="10">
        <v>5000</v>
      </c>
      <c r="S698">
        <v>44172</v>
      </c>
      <c r="T698" t="str">
        <v>SI</v>
      </c>
      <c r="AN698">
        <v>696</v>
      </c>
      <c r="AO698" t="str">
        <v>DESARROLLO</v>
      </c>
      <c r="AP698" t="str">
        <v>CLIENTE-0004</v>
      </c>
      <c r="AQ698">
        <v>300</v>
      </c>
      <c r="AR698" t="str">
        <v>SI</v>
      </c>
    </row>
    <row r="699" spans="1:44">
      <c r="A699" s="2">
        <v>698</v>
      </c>
      <c r="B699" t="s">
        <v>16</v>
      </c>
      <c r="C699" t="s">
        <v>17</v>
      </c>
      <c r="D699" t="s">
        <v>15</v>
      </c>
      <c r="E699" s="3">
        <v>300</v>
      </c>
      <c r="F699" s="4">
        <v>44398</v>
      </c>
      <c r="G699" s="2" t="s">
        <v>12</v>
      </c>
      <c r="N699">
        <v>395</v>
      </c>
      <c r="O699" t="str">
        <v>DESARROLLO</v>
      </c>
      <c r="P699" t="str">
        <v>CLIENTE-0007</v>
      </c>
      <c r="Q699" t="str">
        <v>BARCELONA</v>
      </c>
      <c r="R699" s="10">
        <v>5000</v>
      </c>
      <c r="S699">
        <v>43903</v>
      </c>
      <c r="T699" t="str">
        <v>SI</v>
      </c>
      <c r="AN699">
        <v>697</v>
      </c>
      <c r="AO699" t="str">
        <v>PROYECTO</v>
      </c>
      <c r="AP699" t="str">
        <v>CLIENTE-0005</v>
      </c>
      <c r="AQ699">
        <v>350</v>
      </c>
      <c r="AR699" t="str">
        <v>SI</v>
      </c>
    </row>
    <row r="700" spans="1:44">
      <c r="A700" s="2">
        <v>699</v>
      </c>
      <c r="B700" t="s">
        <v>18</v>
      </c>
      <c r="C700" t="s">
        <v>19</v>
      </c>
      <c r="D700" t="s">
        <v>15</v>
      </c>
      <c r="E700" s="3">
        <v>120</v>
      </c>
      <c r="F700" s="4">
        <v>43964</v>
      </c>
      <c r="G700" s="2" t="s">
        <v>28</v>
      </c>
      <c r="N700">
        <v>429</v>
      </c>
      <c r="O700" t="str">
        <v>CONSULTORIA</v>
      </c>
      <c r="P700" t="str">
        <v>CLIENTE-0009</v>
      </c>
      <c r="Q700" t="str">
        <v>ALICANTE</v>
      </c>
      <c r="R700" s="10">
        <v>5000</v>
      </c>
      <c r="S700">
        <v>43934</v>
      </c>
      <c r="T700" t="str">
        <v>SI</v>
      </c>
      <c r="AN700">
        <v>698</v>
      </c>
      <c r="AO700" t="str">
        <v>EQUIPOS</v>
      </c>
      <c r="AP700" t="str">
        <v>CLIENTE-0006</v>
      </c>
      <c r="AQ700">
        <v>300</v>
      </c>
      <c r="AR700" t="str">
        <v>SI</v>
      </c>
    </row>
    <row r="701" spans="1:44">
      <c r="A701" s="2">
        <v>700</v>
      </c>
      <c r="B701" t="s">
        <v>20</v>
      </c>
      <c r="C701" t="s">
        <v>23</v>
      </c>
      <c r="D701" t="s">
        <v>24</v>
      </c>
      <c r="E701" s="3">
        <v>150</v>
      </c>
      <c r="F701" s="4">
        <v>43469</v>
      </c>
      <c r="G701" s="2" t="s">
        <v>28</v>
      </c>
      <c r="N701">
        <v>441</v>
      </c>
      <c r="O701" t="str">
        <v>EQUIPOS</v>
      </c>
      <c r="P701" t="str">
        <v>CLIENTE-0008</v>
      </c>
      <c r="Q701" t="str">
        <v>ALICANTE</v>
      </c>
      <c r="R701" s="10">
        <v>5000</v>
      </c>
      <c r="S701">
        <v>43977</v>
      </c>
      <c r="T701" t="str">
        <v>NO</v>
      </c>
      <c r="AN701">
        <v>699</v>
      </c>
      <c r="AO701" t="str">
        <v>PROGRAMA</v>
      </c>
      <c r="AP701" t="str">
        <v>CLIENTE-0007</v>
      </c>
      <c r="AQ701">
        <v>120</v>
      </c>
      <c r="AR701" t="str">
        <v>NO</v>
      </c>
    </row>
    <row r="702" spans="1:44">
      <c r="A702" s="2">
        <v>701</v>
      </c>
      <c r="B702" t="s">
        <v>22</v>
      </c>
      <c r="C702" t="s">
        <v>25</v>
      </c>
      <c r="D702" t="s">
        <v>24</v>
      </c>
      <c r="E702" s="3">
        <v>8500</v>
      </c>
      <c r="F702" s="4">
        <v>44329</v>
      </c>
      <c r="G702" s="2" t="s">
        <v>28</v>
      </c>
      <c r="N702">
        <v>464</v>
      </c>
      <c r="O702" t="str">
        <v>PROGRAMA</v>
      </c>
      <c r="P702" t="str">
        <v>CLIENTE-0001</v>
      </c>
      <c r="Q702" t="str">
        <v>MADRID</v>
      </c>
      <c r="R702" s="10">
        <v>5000</v>
      </c>
      <c r="S702">
        <v>43913</v>
      </c>
      <c r="T702" t="str">
        <v>SI</v>
      </c>
      <c r="AN702">
        <v>700</v>
      </c>
      <c r="AO702" t="str">
        <v>FORMACION</v>
      </c>
      <c r="AP702" t="str">
        <v>CLIENTE-0008</v>
      </c>
      <c r="AQ702">
        <v>150</v>
      </c>
      <c r="AR702" t="str">
        <v>NO</v>
      </c>
    </row>
    <row r="703" spans="1:44">
      <c r="A703" s="2">
        <v>702</v>
      </c>
      <c r="B703" t="s">
        <v>10</v>
      </c>
      <c r="C703" t="s">
        <v>26</v>
      </c>
      <c r="D703" t="s">
        <v>9</v>
      </c>
      <c r="E703" s="3">
        <v>1200</v>
      </c>
      <c r="F703" s="4">
        <v>44025</v>
      </c>
      <c r="G703" s="2" t="s">
        <v>28</v>
      </c>
      <c r="N703">
        <v>498</v>
      </c>
      <c r="O703" t="str">
        <v>PROGRAMA</v>
      </c>
      <c r="P703" t="str">
        <v>CLIENTE-0008</v>
      </c>
      <c r="Q703" t="str">
        <v>ALICANTE</v>
      </c>
      <c r="R703" s="10">
        <v>5000</v>
      </c>
      <c r="S703">
        <v>43663</v>
      </c>
      <c r="T703" t="str">
        <v>SI</v>
      </c>
      <c r="AN703">
        <v>701</v>
      </c>
      <c r="AO703" t="str">
        <v>CONSULTORIA</v>
      </c>
      <c r="AP703" t="str">
        <v>CLIENTE-0009</v>
      </c>
      <c r="AQ703">
        <v>8500</v>
      </c>
      <c r="AR703" t="str">
        <v>NO</v>
      </c>
    </row>
    <row r="704" spans="1:44">
      <c r="A704" s="2">
        <v>703</v>
      </c>
      <c r="B704" t="s">
        <v>13</v>
      </c>
      <c r="C704" t="s">
        <v>11</v>
      </c>
      <c r="D704" t="s">
        <v>9</v>
      </c>
      <c r="E704" s="3">
        <v>300</v>
      </c>
      <c r="F704" s="4">
        <v>44029</v>
      </c>
      <c r="G704" s="2" t="s">
        <v>28</v>
      </c>
      <c r="N704">
        <v>510</v>
      </c>
      <c r="O704" t="str">
        <v>EQUIPOS</v>
      </c>
      <c r="P704" t="str">
        <v>CLIENTE-0010</v>
      </c>
      <c r="Q704" t="str">
        <v>MADRID</v>
      </c>
      <c r="R704" s="10">
        <v>5000</v>
      </c>
      <c r="S704">
        <v>43606</v>
      </c>
      <c r="T704" t="str">
        <v>NO</v>
      </c>
      <c r="AN704">
        <v>702</v>
      </c>
      <c r="AO704" t="str">
        <v>DESARROLLO</v>
      </c>
      <c r="AP704" t="str">
        <v>CLIENTE-0010</v>
      </c>
      <c r="AQ704">
        <v>1200</v>
      </c>
      <c r="AR704" t="str">
        <v>NO</v>
      </c>
    </row>
    <row r="705" spans="1:44">
      <c r="A705" s="2">
        <v>704</v>
      </c>
      <c r="B705" t="s">
        <v>16</v>
      </c>
      <c r="C705" t="s">
        <v>14</v>
      </c>
      <c r="D705" t="s">
        <v>15</v>
      </c>
      <c r="E705" s="3">
        <v>200</v>
      </c>
      <c r="F705" s="4">
        <v>44180</v>
      </c>
      <c r="G705" s="2" t="s">
        <v>28</v>
      </c>
      <c r="N705">
        <v>533</v>
      </c>
      <c r="O705" t="str">
        <v>DESARROLLO</v>
      </c>
      <c r="P705" t="str">
        <v>CLIENTE-0010</v>
      </c>
      <c r="Q705" t="str">
        <v>MADRID</v>
      </c>
      <c r="R705" s="10">
        <v>5000</v>
      </c>
      <c r="S705">
        <v>43952</v>
      </c>
      <c r="T705" t="str">
        <v>NO</v>
      </c>
      <c r="AN705">
        <v>703</v>
      </c>
      <c r="AO705" t="str">
        <v>PROYECTO</v>
      </c>
      <c r="AP705" t="str">
        <v>CLIENTE-0004</v>
      </c>
      <c r="AQ705">
        <v>300</v>
      </c>
      <c r="AR705" t="str">
        <v>NO</v>
      </c>
    </row>
    <row r="706" spans="1:44">
      <c r="A706" s="2">
        <v>705</v>
      </c>
      <c r="B706" t="s">
        <v>18</v>
      </c>
      <c r="C706" t="s">
        <v>14</v>
      </c>
      <c r="D706" t="s">
        <v>15</v>
      </c>
      <c r="E706" s="3">
        <v>150</v>
      </c>
      <c r="F706" s="4">
        <v>44283</v>
      </c>
      <c r="G706" s="2" t="s">
        <v>28</v>
      </c>
      <c r="N706">
        <v>567</v>
      </c>
      <c r="O706" t="str">
        <v>DESARROLLO</v>
      </c>
      <c r="P706" t="str">
        <v>CLIENTE-0005</v>
      </c>
      <c r="Q706" t="str">
        <v>BARCELONA</v>
      </c>
      <c r="R706" s="10">
        <v>5000</v>
      </c>
      <c r="S706">
        <v>43767</v>
      </c>
      <c r="T706" t="str">
        <v>SI</v>
      </c>
      <c r="AN706">
        <v>704</v>
      </c>
      <c r="AO706" t="str">
        <v>EQUIPOS</v>
      </c>
      <c r="AP706" t="str">
        <v>CLIENTE-0005</v>
      </c>
      <c r="AQ706">
        <v>200</v>
      </c>
      <c r="AR706" t="str">
        <v>NO</v>
      </c>
    </row>
    <row r="707" spans="1:44">
      <c r="A707" s="2">
        <v>706</v>
      </c>
      <c r="B707" t="s">
        <v>20</v>
      </c>
      <c r="C707" t="s">
        <v>17</v>
      </c>
      <c r="D707" t="s">
        <v>15</v>
      </c>
      <c r="E707" s="3">
        <v>120</v>
      </c>
      <c r="F707" s="4">
        <v>43840</v>
      </c>
      <c r="G707" s="2" t="s">
        <v>12</v>
      </c>
      <c r="N707">
        <v>579</v>
      </c>
      <c r="O707" t="str">
        <v>DESARROLLO</v>
      </c>
      <c r="P707" t="str">
        <v>CLIENTE-0004</v>
      </c>
      <c r="Q707" t="str">
        <v>MADRID</v>
      </c>
      <c r="R707" s="10">
        <v>5000</v>
      </c>
      <c r="S707">
        <v>44254</v>
      </c>
      <c r="T707" t="str">
        <v>NO</v>
      </c>
      <c r="AN707">
        <v>705</v>
      </c>
      <c r="AO707" t="str">
        <v>PROGRAMA</v>
      </c>
      <c r="AP707" t="str">
        <v>CLIENTE-0005</v>
      </c>
      <c r="AQ707">
        <v>150</v>
      </c>
      <c r="AR707" t="str">
        <v>NO</v>
      </c>
    </row>
    <row r="708" spans="1:44">
      <c r="A708" s="2">
        <v>707</v>
      </c>
      <c r="B708" t="s">
        <v>22</v>
      </c>
      <c r="C708" t="s">
        <v>19</v>
      </c>
      <c r="D708" t="s">
        <v>15</v>
      </c>
      <c r="E708" s="3">
        <v>300</v>
      </c>
      <c r="F708" s="4">
        <v>44159</v>
      </c>
      <c r="G708" s="2" t="s">
        <v>12</v>
      </c>
      <c r="N708">
        <v>602</v>
      </c>
      <c r="O708" t="str">
        <v>DESARROLLO</v>
      </c>
      <c r="P708" t="str">
        <v>CLIENTE-0007</v>
      </c>
      <c r="Q708" t="str">
        <v>BARCELONA</v>
      </c>
      <c r="R708" s="10">
        <v>5000</v>
      </c>
      <c r="S708">
        <v>43542</v>
      </c>
      <c r="T708" t="str">
        <v>SI</v>
      </c>
      <c r="AN708">
        <v>706</v>
      </c>
      <c r="AO708" t="str">
        <v>FORMACION</v>
      </c>
      <c r="AP708" t="str">
        <v>CLIENTE-0006</v>
      </c>
      <c r="AQ708">
        <v>120</v>
      </c>
      <c r="AR708" t="str">
        <v>SI</v>
      </c>
    </row>
    <row r="709" spans="1:44">
      <c r="A709" s="2">
        <v>708</v>
      </c>
      <c r="B709" t="s">
        <v>10</v>
      </c>
      <c r="C709" t="s">
        <v>23</v>
      </c>
      <c r="D709" t="s">
        <v>24</v>
      </c>
      <c r="E709" s="3">
        <v>350</v>
      </c>
      <c r="F709" s="4">
        <v>43905</v>
      </c>
      <c r="G709" s="2" t="s">
        <v>12</v>
      </c>
      <c r="N709">
        <v>646</v>
      </c>
      <c r="O709" t="str">
        <v>PROYECTO</v>
      </c>
      <c r="P709" t="str">
        <v>CLIENTE-0006</v>
      </c>
      <c r="Q709" t="str">
        <v>BARCELONA</v>
      </c>
      <c r="R709" s="10">
        <v>5000</v>
      </c>
      <c r="S709">
        <v>44431</v>
      </c>
      <c r="T709" t="str">
        <v>NO</v>
      </c>
      <c r="AN709">
        <v>707</v>
      </c>
      <c r="AO709" t="str">
        <v>CONSULTORIA</v>
      </c>
      <c r="AP709" t="str">
        <v>CLIENTE-0007</v>
      </c>
      <c r="AQ709">
        <v>300</v>
      </c>
      <c r="AR709" t="str">
        <v>SI</v>
      </c>
    </row>
    <row r="710" spans="1:44">
      <c r="A710" s="2">
        <v>709</v>
      </c>
      <c r="B710" t="s">
        <v>13</v>
      </c>
      <c r="C710" t="s">
        <v>25</v>
      </c>
      <c r="D710" t="s">
        <v>24</v>
      </c>
      <c r="E710" s="3">
        <v>300</v>
      </c>
      <c r="F710" s="4">
        <v>44380</v>
      </c>
      <c r="G710" s="2" t="s">
        <v>12</v>
      </c>
      <c r="N710">
        <v>688</v>
      </c>
      <c r="O710" t="str">
        <v>FORMACION</v>
      </c>
      <c r="P710" t="str">
        <v>CLIENTE-0008</v>
      </c>
      <c r="Q710" t="str">
        <v>ALICANTE</v>
      </c>
      <c r="R710" s="10">
        <v>5000</v>
      </c>
      <c r="S710">
        <v>44312</v>
      </c>
      <c r="T710" t="str">
        <v>SI</v>
      </c>
      <c r="AN710">
        <v>708</v>
      </c>
      <c r="AO710" t="str">
        <v>DESARROLLO</v>
      </c>
      <c r="AP710" t="str">
        <v>CLIENTE-0008</v>
      </c>
      <c r="AQ710">
        <v>350</v>
      </c>
      <c r="AR710" t="str">
        <v>SI</v>
      </c>
    </row>
    <row r="711" spans="1:44">
      <c r="A711" s="2">
        <v>710</v>
      </c>
      <c r="B711" t="s">
        <v>16</v>
      </c>
      <c r="C711" t="s">
        <v>26</v>
      </c>
      <c r="D711" t="s">
        <v>9</v>
      </c>
      <c r="E711" s="3">
        <v>120</v>
      </c>
      <c r="F711" s="4">
        <v>44555</v>
      </c>
      <c r="G711" s="2" t="s">
        <v>12</v>
      </c>
      <c r="N711">
        <v>722</v>
      </c>
      <c r="O711" t="str">
        <v>FORMACION</v>
      </c>
      <c r="P711" t="str">
        <v>CLIENTE-0010</v>
      </c>
      <c r="Q711" t="str">
        <v>MADRID</v>
      </c>
      <c r="R711" s="10">
        <v>5000</v>
      </c>
      <c r="S711">
        <v>43578</v>
      </c>
      <c r="T711" t="str">
        <v>SI</v>
      </c>
      <c r="AN711">
        <v>709</v>
      </c>
      <c r="AO711" t="str">
        <v>PROYECTO</v>
      </c>
      <c r="AP711" t="str">
        <v>CLIENTE-0009</v>
      </c>
      <c r="AQ711">
        <v>300</v>
      </c>
      <c r="AR711" t="str">
        <v>SI</v>
      </c>
    </row>
    <row r="712" spans="1:44">
      <c r="A712" s="2">
        <v>711</v>
      </c>
      <c r="B712" t="s">
        <v>22</v>
      </c>
      <c r="C712" t="s">
        <v>27</v>
      </c>
      <c r="D712" t="s">
        <v>9</v>
      </c>
      <c r="E712" s="3">
        <v>150</v>
      </c>
      <c r="F712" s="4">
        <v>43945</v>
      </c>
      <c r="G712" s="2" t="s">
        <v>12</v>
      </c>
      <c r="N712">
        <v>753</v>
      </c>
      <c r="O712" t="str">
        <v>DESARROLLO</v>
      </c>
      <c r="P712" t="str">
        <v>CLIENTE-0010</v>
      </c>
      <c r="Q712" t="str">
        <v>MADRID</v>
      </c>
      <c r="R712" s="10">
        <v>5000</v>
      </c>
      <c r="S712">
        <v>43611</v>
      </c>
      <c r="T712" t="str">
        <v>SI</v>
      </c>
      <c r="AN712">
        <v>710</v>
      </c>
      <c r="AO712" t="str">
        <v>EQUIPOS</v>
      </c>
      <c r="AP712" t="str">
        <v>CLIENTE-0010</v>
      </c>
      <c r="AQ712">
        <v>120</v>
      </c>
      <c r="AR712" t="str">
        <v>SI</v>
      </c>
    </row>
    <row r="713" spans="1:44">
      <c r="A713" s="2">
        <v>712</v>
      </c>
      <c r="B713" t="s">
        <v>10</v>
      </c>
      <c r="C713" t="s">
        <v>26</v>
      </c>
      <c r="D713" t="s">
        <v>9</v>
      </c>
      <c r="E713" s="3">
        <v>1200</v>
      </c>
      <c r="F713" s="4">
        <v>43516</v>
      </c>
      <c r="G713" s="2" t="s">
        <v>12</v>
      </c>
      <c r="N713">
        <v>12</v>
      </c>
      <c r="O713" t="str">
        <v>CONSULTORIA</v>
      </c>
      <c r="P713" t="str">
        <v>CLIENTE-0009</v>
      </c>
      <c r="Q713" t="str">
        <v>ALICANTE</v>
      </c>
      <c r="R713" s="10">
        <v>6500</v>
      </c>
      <c r="S713">
        <v>43539</v>
      </c>
      <c r="T713" t="str">
        <v>SI</v>
      </c>
      <c r="AN713">
        <v>711</v>
      </c>
      <c r="AO713" t="str">
        <v>CONSULTORIA</v>
      </c>
      <c r="AP713" t="str">
        <v>CLIENTE-0001</v>
      </c>
      <c r="AQ713">
        <v>150</v>
      </c>
      <c r="AR713" t="str">
        <v>SI</v>
      </c>
    </row>
    <row r="714" spans="1:44">
      <c r="A714" s="2">
        <v>713</v>
      </c>
      <c r="B714" t="s">
        <v>13</v>
      </c>
      <c r="C714" t="s">
        <v>27</v>
      </c>
      <c r="D714" t="s">
        <v>9</v>
      </c>
      <c r="E714" s="3">
        <v>800</v>
      </c>
      <c r="F714" s="4">
        <v>44400</v>
      </c>
      <c r="G714" s="2" t="s">
        <v>28</v>
      </c>
      <c r="N714">
        <v>35</v>
      </c>
      <c r="O714" t="str">
        <v>CONSULTORIA</v>
      </c>
      <c r="P714" t="str">
        <v>CLIENTE-0010</v>
      </c>
      <c r="Q714" t="str">
        <v>MADRID</v>
      </c>
      <c r="R714" s="10">
        <v>6500</v>
      </c>
      <c r="S714">
        <v>43765</v>
      </c>
      <c r="T714" t="str">
        <v>SI</v>
      </c>
      <c r="AN714">
        <v>712</v>
      </c>
      <c r="AO714" t="str">
        <v>DESARROLLO</v>
      </c>
      <c r="AP714" t="str">
        <v>CLIENTE-0010</v>
      </c>
      <c r="AQ714">
        <v>1200</v>
      </c>
      <c r="AR714" t="str">
        <v>SI</v>
      </c>
    </row>
    <row r="715" spans="1:44">
      <c r="A715" s="2">
        <v>714</v>
      </c>
      <c r="B715" t="s">
        <v>16</v>
      </c>
      <c r="C715" t="s">
        <v>29</v>
      </c>
      <c r="D715" t="s">
        <v>24</v>
      </c>
      <c r="E715" s="3">
        <v>750</v>
      </c>
      <c r="F715" s="4">
        <v>44500</v>
      </c>
      <c r="G715" s="2" t="s">
        <v>28</v>
      </c>
      <c r="N715">
        <v>69</v>
      </c>
      <c r="O715" t="str">
        <v>CONSULTORIA</v>
      </c>
      <c r="P715" t="str">
        <v>CLIENTE-0009</v>
      </c>
      <c r="Q715" t="str">
        <v>ALICANTE</v>
      </c>
      <c r="R715" s="10">
        <v>6500</v>
      </c>
      <c r="S715">
        <v>43587</v>
      </c>
      <c r="T715" t="str">
        <v>SI</v>
      </c>
      <c r="AN715">
        <v>713</v>
      </c>
      <c r="AO715" t="str">
        <v>PROYECTO</v>
      </c>
      <c r="AP715" t="str">
        <v>CLIENTE-0001</v>
      </c>
      <c r="AQ715">
        <v>800</v>
      </c>
      <c r="AR715" t="str">
        <v>NO</v>
      </c>
    </row>
    <row r="716" spans="1:44">
      <c r="A716" s="2">
        <v>715</v>
      </c>
      <c r="B716" t="s">
        <v>18</v>
      </c>
      <c r="C716" t="s">
        <v>21</v>
      </c>
      <c r="D716" t="s">
        <v>9</v>
      </c>
      <c r="E716" s="3">
        <v>4500</v>
      </c>
      <c r="F716" s="4">
        <v>44003</v>
      </c>
      <c r="G716" s="2" t="s">
        <v>28</v>
      </c>
      <c r="N716">
        <v>81</v>
      </c>
      <c r="O716" t="str">
        <v>CONSULTORIA</v>
      </c>
      <c r="P716" t="str">
        <v>CLIENTE-0001</v>
      </c>
      <c r="Q716" t="str">
        <v>MADRID</v>
      </c>
      <c r="R716" s="10">
        <v>6500</v>
      </c>
      <c r="S716">
        <v>44485</v>
      </c>
      <c r="T716" t="str">
        <v>SI</v>
      </c>
      <c r="AN716">
        <v>714</v>
      </c>
      <c r="AO716" t="str">
        <v>EQUIPOS</v>
      </c>
      <c r="AP716" t="str">
        <v>CLIENTE-0002</v>
      </c>
      <c r="AQ716">
        <v>750</v>
      </c>
      <c r="AR716" t="str">
        <v>NO</v>
      </c>
    </row>
    <row r="717" spans="1:44">
      <c r="A717" s="2">
        <v>716</v>
      </c>
      <c r="B717" t="s">
        <v>20</v>
      </c>
      <c r="C717" t="s">
        <v>11</v>
      </c>
      <c r="D717" t="s">
        <v>9</v>
      </c>
      <c r="E717" s="3">
        <v>500</v>
      </c>
      <c r="F717" s="4">
        <v>43901</v>
      </c>
      <c r="G717" s="2" t="s">
        <v>28</v>
      </c>
      <c r="N717">
        <v>104</v>
      </c>
      <c r="O717" t="str">
        <v>CONSULTORIA</v>
      </c>
      <c r="P717" t="str">
        <v>CLIENTE-0001</v>
      </c>
      <c r="Q717" t="str">
        <v>MADRID</v>
      </c>
      <c r="R717" s="10">
        <v>6500</v>
      </c>
      <c r="S717">
        <v>44368</v>
      </c>
      <c r="T717" t="str">
        <v>SI</v>
      </c>
      <c r="AN717">
        <v>715</v>
      </c>
      <c r="AO717" t="str">
        <v>PROGRAMA</v>
      </c>
      <c r="AP717" t="str">
        <v>CLIENTE-0003</v>
      </c>
      <c r="AQ717">
        <v>4500</v>
      </c>
      <c r="AR717" t="str">
        <v>NO</v>
      </c>
    </row>
    <row r="718" spans="1:44">
      <c r="A718" s="2">
        <v>717</v>
      </c>
      <c r="B718" t="s">
        <v>22</v>
      </c>
      <c r="C718" t="s">
        <v>14</v>
      </c>
      <c r="D718" t="s">
        <v>15</v>
      </c>
      <c r="E718" s="3">
        <v>750</v>
      </c>
      <c r="F718" s="4">
        <v>44169</v>
      </c>
      <c r="G718" s="2" t="s">
        <v>28</v>
      </c>
      <c r="N718">
        <v>138</v>
      </c>
      <c r="O718" t="str">
        <v>EQUIPOS</v>
      </c>
      <c r="P718" t="str">
        <v>CLIENTE-0006</v>
      </c>
      <c r="Q718" t="str">
        <v>BARCELONA</v>
      </c>
      <c r="R718" s="10">
        <v>6500</v>
      </c>
      <c r="S718">
        <v>43653</v>
      </c>
      <c r="T718" t="str">
        <v>SI</v>
      </c>
      <c r="AN718">
        <v>716</v>
      </c>
      <c r="AO718" t="str">
        <v>FORMACION</v>
      </c>
      <c r="AP718" t="str">
        <v>CLIENTE-0004</v>
      </c>
      <c r="AQ718">
        <v>500</v>
      </c>
      <c r="AR718" t="str">
        <v>NO</v>
      </c>
    </row>
    <row r="719" spans="1:44">
      <c r="A719" s="2">
        <v>718</v>
      </c>
      <c r="B719" t="s">
        <v>10</v>
      </c>
      <c r="C719" t="s">
        <v>17</v>
      </c>
      <c r="D719" t="s">
        <v>15</v>
      </c>
      <c r="E719" s="3">
        <v>950</v>
      </c>
      <c r="F719" s="4">
        <v>44383</v>
      </c>
      <c r="G719" s="2" t="s">
        <v>28</v>
      </c>
      <c r="N719">
        <v>150</v>
      </c>
      <c r="O719" t="str">
        <v>EQUIPOS</v>
      </c>
      <c r="P719" t="str">
        <v>CLIENTE-0010</v>
      </c>
      <c r="Q719" t="str">
        <v>MADRID</v>
      </c>
      <c r="R719" s="10">
        <v>6500</v>
      </c>
      <c r="S719">
        <v>43645</v>
      </c>
      <c r="T719" t="str">
        <v>SI</v>
      </c>
      <c r="AN719">
        <v>717</v>
      </c>
      <c r="AO719" t="str">
        <v>CONSULTORIA</v>
      </c>
      <c r="AP719" t="str">
        <v>CLIENTE-0005</v>
      </c>
      <c r="AQ719">
        <v>750</v>
      </c>
      <c r="AR719" t="str">
        <v>NO</v>
      </c>
    </row>
    <row r="720" spans="1:44">
      <c r="A720" s="2">
        <v>719</v>
      </c>
      <c r="B720" t="s">
        <v>13</v>
      </c>
      <c r="C720" t="s">
        <v>19</v>
      </c>
      <c r="D720" t="s">
        <v>15</v>
      </c>
      <c r="E720" s="3">
        <v>680</v>
      </c>
      <c r="F720" s="4">
        <v>44479</v>
      </c>
      <c r="G720" s="2" t="s">
        <v>12</v>
      </c>
      <c r="N720">
        <v>173</v>
      </c>
      <c r="O720" t="str">
        <v>PROGRAMA</v>
      </c>
      <c r="P720" t="str">
        <v>CLIENTE-0003</v>
      </c>
      <c r="Q720" t="str">
        <v>MADRID</v>
      </c>
      <c r="R720" s="10">
        <v>6500</v>
      </c>
      <c r="S720">
        <v>44503</v>
      </c>
      <c r="T720" t="str">
        <v>SI</v>
      </c>
      <c r="AN720">
        <v>718</v>
      </c>
      <c r="AO720" t="str">
        <v>DESARROLLO</v>
      </c>
      <c r="AP720" t="str">
        <v>CLIENTE-0006</v>
      </c>
      <c r="AQ720">
        <v>950</v>
      </c>
      <c r="AR720" t="str">
        <v>NO</v>
      </c>
    </row>
    <row r="721" spans="1:44">
      <c r="A721" s="2">
        <v>720</v>
      </c>
      <c r="B721" t="s">
        <v>16</v>
      </c>
      <c r="C721" t="s">
        <v>23</v>
      </c>
      <c r="D721" t="s">
        <v>24</v>
      </c>
      <c r="E721" s="3">
        <v>950</v>
      </c>
      <c r="F721" s="4">
        <v>43801</v>
      </c>
      <c r="G721" s="2" t="s">
        <v>12</v>
      </c>
      <c r="N721">
        <v>207</v>
      </c>
      <c r="O721" t="str">
        <v>CONSULTORIA</v>
      </c>
      <c r="P721" t="str">
        <v>CLIENTE-0009</v>
      </c>
      <c r="Q721" t="str">
        <v>ALICANTE</v>
      </c>
      <c r="R721" s="10">
        <v>6500</v>
      </c>
      <c r="S721">
        <v>43705</v>
      </c>
      <c r="T721" t="str">
        <v>SI</v>
      </c>
      <c r="AN721">
        <v>719</v>
      </c>
      <c r="AO721" t="str">
        <v>PROYECTO</v>
      </c>
      <c r="AP721" t="str">
        <v>CLIENTE-0007</v>
      </c>
      <c r="AQ721">
        <v>680</v>
      </c>
      <c r="AR721" t="str">
        <v>SI</v>
      </c>
    </row>
    <row r="722" spans="1:44">
      <c r="A722" s="2">
        <v>721</v>
      </c>
      <c r="B722" t="s">
        <v>18</v>
      </c>
      <c r="C722" t="s">
        <v>25</v>
      </c>
      <c r="D722" t="s">
        <v>24</v>
      </c>
      <c r="E722" s="3">
        <v>1500</v>
      </c>
      <c r="F722" s="4">
        <v>43511</v>
      </c>
      <c r="G722" s="2" t="s">
        <v>12</v>
      </c>
      <c r="N722">
        <v>219</v>
      </c>
      <c r="O722" t="str">
        <v>PROYECTO</v>
      </c>
      <c r="P722" t="str">
        <v>CLIENTE-0009</v>
      </c>
      <c r="Q722" t="str">
        <v>ALICANTE</v>
      </c>
      <c r="R722" s="10">
        <v>6500</v>
      </c>
      <c r="S722">
        <v>44365</v>
      </c>
      <c r="T722" t="str">
        <v>SI</v>
      </c>
      <c r="AN722">
        <v>720</v>
      </c>
      <c r="AO722" t="str">
        <v>EQUIPOS</v>
      </c>
      <c r="AP722" t="str">
        <v>CLIENTE-0008</v>
      </c>
      <c r="AQ722">
        <v>950</v>
      </c>
      <c r="AR722" t="str">
        <v>SI</v>
      </c>
    </row>
    <row r="723" spans="1:44">
      <c r="A723" s="2">
        <v>722</v>
      </c>
      <c r="B723" t="s">
        <v>20</v>
      </c>
      <c r="C723" t="s">
        <v>26</v>
      </c>
      <c r="D723" t="s">
        <v>9</v>
      </c>
      <c r="E723" s="3">
        <v>5000</v>
      </c>
      <c r="F723" s="4">
        <v>43578</v>
      </c>
      <c r="G723" s="2" t="s">
        <v>12</v>
      </c>
      <c r="N723">
        <v>242</v>
      </c>
      <c r="O723" t="str">
        <v>DESARROLLO</v>
      </c>
      <c r="P723" t="str">
        <v>CLIENTE-0007</v>
      </c>
      <c r="Q723" t="str">
        <v>BARCELONA</v>
      </c>
      <c r="R723" s="10">
        <v>6500</v>
      </c>
      <c r="S723">
        <v>44135</v>
      </c>
      <c r="T723" t="str">
        <v>SI</v>
      </c>
      <c r="AN723">
        <v>721</v>
      </c>
      <c r="AO723" t="str">
        <v>PROGRAMA</v>
      </c>
      <c r="AP723" t="str">
        <v>CLIENTE-0009</v>
      </c>
      <c r="AQ723">
        <v>1500</v>
      </c>
      <c r="AR723" t="str">
        <v>SI</v>
      </c>
    </row>
    <row r="724" spans="1:44">
      <c r="A724" s="2">
        <v>723</v>
      </c>
      <c r="B724" t="s">
        <v>22</v>
      </c>
      <c r="C724" t="s">
        <v>27</v>
      </c>
      <c r="D724" t="s">
        <v>9</v>
      </c>
      <c r="E724" s="3">
        <v>6500</v>
      </c>
      <c r="F724" s="4">
        <v>43772</v>
      </c>
      <c r="G724" s="2" t="s">
        <v>12</v>
      </c>
      <c r="N724">
        <v>276</v>
      </c>
      <c r="O724" t="str">
        <v>CONSULTORIA</v>
      </c>
      <c r="P724" t="str">
        <v>CLIENTE-0007</v>
      </c>
      <c r="Q724" t="str">
        <v>BARCELONA</v>
      </c>
      <c r="R724" s="10">
        <v>6500</v>
      </c>
      <c r="S724">
        <v>44468</v>
      </c>
      <c r="T724" t="str">
        <v>SI</v>
      </c>
      <c r="AN724">
        <v>722</v>
      </c>
      <c r="AO724" t="str">
        <v>FORMACION</v>
      </c>
      <c r="AP724" t="str">
        <v>CLIENTE-0010</v>
      </c>
      <c r="AQ724">
        <v>5000</v>
      </c>
      <c r="AR724" t="str">
        <v>SI</v>
      </c>
    </row>
    <row r="725" spans="1:44">
      <c r="A725" s="2">
        <v>724</v>
      </c>
      <c r="B725" t="s">
        <v>10</v>
      </c>
      <c r="C725" t="s">
        <v>26</v>
      </c>
      <c r="D725" t="s">
        <v>9</v>
      </c>
      <c r="E725" s="3">
        <v>1200</v>
      </c>
      <c r="F725" s="4">
        <v>43512</v>
      </c>
      <c r="G725" s="2" t="s">
        <v>12</v>
      </c>
      <c r="N725">
        <v>285</v>
      </c>
      <c r="O725" t="str">
        <v>FORMACION</v>
      </c>
      <c r="P725" t="str">
        <v>CLIENTE-0008</v>
      </c>
      <c r="Q725" t="str">
        <v>ALICANTE</v>
      </c>
      <c r="R725" s="10">
        <v>6500</v>
      </c>
      <c r="S725">
        <v>44235</v>
      </c>
      <c r="T725" t="str">
        <v>SI</v>
      </c>
      <c r="AN725">
        <v>723</v>
      </c>
      <c r="AO725" t="str">
        <v>CONSULTORIA</v>
      </c>
      <c r="AP725" t="str">
        <v>CLIENTE-0001</v>
      </c>
      <c r="AQ725">
        <v>6500</v>
      </c>
      <c r="AR725" t="str">
        <v>SI</v>
      </c>
    </row>
    <row r="726" spans="1:44">
      <c r="A726" s="2">
        <v>725</v>
      </c>
      <c r="B726" t="s">
        <v>13</v>
      </c>
      <c r="C726" t="s">
        <v>27</v>
      </c>
      <c r="D726" t="s">
        <v>9</v>
      </c>
      <c r="E726" s="3">
        <v>800</v>
      </c>
      <c r="F726" s="4">
        <v>43618</v>
      </c>
      <c r="G726" s="2" t="s">
        <v>12</v>
      </c>
      <c r="N726">
        <v>319</v>
      </c>
      <c r="O726" t="str">
        <v>PROYECTO</v>
      </c>
      <c r="P726" t="str">
        <v>CLIENTE-0010</v>
      </c>
      <c r="Q726" t="str">
        <v>MADRID</v>
      </c>
      <c r="R726" s="10">
        <v>6500</v>
      </c>
      <c r="S726">
        <v>43727</v>
      </c>
      <c r="T726" t="str">
        <v>NO</v>
      </c>
      <c r="AN726">
        <v>724</v>
      </c>
      <c r="AO726" t="str">
        <v>DESARROLLO</v>
      </c>
      <c r="AP726" t="str">
        <v>CLIENTE-0010</v>
      </c>
      <c r="AQ726">
        <v>1200</v>
      </c>
      <c r="AR726" t="str">
        <v>SI</v>
      </c>
    </row>
    <row r="727" spans="1:44">
      <c r="A727" s="2">
        <v>726</v>
      </c>
      <c r="B727" t="s">
        <v>16</v>
      </c>
      <c r="C727" t="s">
        <v>29</v>
      </c>
      <c r="D727" t="s">
        <v>24</v>
      </c>
      <c r="E727" s="3">
        <v>750</v>
      </c>
      <c r="F727" s="4">
        <v>44520</v>
      </c>
      <c r="G727" s="2" t="s">
        <v>12</v>
      </c>
      <c r="N727">
        <v>331</v>
      </c>
      <c r="O727" t="str">
        <v>PROYECTO</v>
      </c>
      <c r="P727" t="str">
        <v>CLIENTE-0002</v>
      </c>
      <c r="Q727" t="str">
        <v>ALICANTE</v>
      </c>
      <c r="R727" s="10">
        <v>6500</v>
      </c>
      <c r="S727">
        <v>43798</v>
      </c>
      <c r="T727" t="str">
        <v>SI</v>
      </c>
      <c r="AN727">
        <v>725</v>
      </c>
      <c r="AO727" t="str">
        <v>PROYECTO</v>
      </c>
      <c r="AP727" t="str">
        <v>CLIENTE-0001</v>
      </c>
      <c r="AQ727">
        <v>800</v>
      </c>
      <c r="AR727" t="str">
        <v>SI</v>
      </c>
    </row>
    <row r="728" spans="1:44">
      <c r="A728" s="2">
        <v>727</v>
      </c>
      <c r="B728" t="s">
        <v>18</v>
      </c>
      <c r="C728" t="s">
        <v>21</v>
      </c>
      <c r="D728" t="s">
        <v>9</v>
      </c>
      <c r="E728" s="3">
        <v>4500</v>
      </c>
      <c r="F728" s="4">
        <v>44271</v>
      </c>
      <c r="G728" s="2" t="s">
        <v>12</v>
      </c>
      <c r="N728">
        <v>354</v>
      </c>
      <c r="O728" t="str">
        <v>PROGRAMA</v>
      </c>
      <c r="P728" t="str">
        <v>CLIENTE-0010</v>
      </c>
      <c r="Q728" t="str">
        <v>MADRID</v>
      </c>
      <c r="R728" s="10">
        <v>6500</v>
      </c>
      <c r="S728">
        <v>44004</v>
      </c>
      <c r="T728" t="str">
        <v>SI</v>
      </c>
      <c r="AN728">
        <v>726</v>
      </c>
      <c r="AO728" t="str">
        <v>EQUIPOS</v>
      </c>
      <c r="AP728" t="str">
        <v>CLIENTE-0002</v>
      </c>
      <c r="AQ728">
        <v>750</v>
      </c>
      <c r="AR728" t="str">
        <v>SI</v>
      </c>
    </row>
    <row r="729" spans="1:44">
      <c r="A729" s="2">
        <v>728</v>
      </c>
      <c r="B729" t="s">
        <v>20</v>
      </c>
      <c r="C729" t="s">
        <v>11</v>
      </c>
      <c r="D729" t="s">
        <v>9</v>
      </c>
      <c r="E729" s="3">
        <v>500</v>
      </c>
      <c r="F729" s="4">
        <v>44243</v>
      </c>
      <c r="G729" s="2" t="s">
        <v>12</v>
      </c>
      <c r="N729">
        <v>396</v>
      </c>
      <c r="O729" t="str">
        <v>PROYECTO</v>
      </c>
      <c r="P729" t="str">
        <v>CLIENTE-0008</v>
      </c>
      <c r="Q729" t="str">
        <v>ALICANTE</v>
      </c>
      <c r="R729" s="10">
        <v>6500</v>
      </c>
      <c r="S729">
        <v>43853</v>
      </c>
      <c r="T729" t="str">
        <v>SI</v>
      </c>
      <c r="AN729">
        <v>727</v>
      </c>
      <c r="AO729" t="str">
        <v>PROGRAMA</v>
      </c>
      <c r="AP729" t="str">
        <v>CLIENTE-0003</v>
      </c>
      <c r="AQ729">
        <v>4500</v>
      </c>
      <c r="AR729" t="str">
        <v>SI</v>
      </c>
    </row>
    <row r="730" spans="1:44">
      <c r="A730" s="2">
        <v>729</v>
      </c>
      <c r="B730" t="s">
        <v>22</v>
      </c>
      <c r="C730" t="s">
        <v>14</v>
      </c>
      <c r="D730" t="s">
        <v>15</v>
      </c>
      <c r="E730" s="3">
        <v>750</v>
      </c>
      <c r="F730" s="4">
        <v>43473</v>
      </c>
      <c r="G730" s="2" t="s">
        <v>12</v>
      </c>
      <c r="N730">
        <v>430</v>
      </c>
      <c r="O730" t="str">
        <v>DESARROLLO</v>
      </c>
      <c r="P730" t="str">
        <v>CLIENTE-0010</v>
      </c>
      <c r="Q730" t="str">
        <v>MADRID</v>
      </c>
      <c r="R730" s="10">
        <v>6500</v>
      </c>
      <c r="S730">
        <v>44123</v>
      </c>
      <c r="T730" t="str">
        <v>SI</v>
      </c>
      <c r="AN730">
        <v>728</v>
      </c>
      <c r="AO730" t="str">
        <v>FORMACION</v>
      </c>
      <c r="AP730" t="str">
        <v>CLIENTE-0004</v>
      </c>
      <c r="AQ730">
        <v>500</v>
      </c>
      <c r="AR730" t="str">
        <v>SI</v>
      </c>
    </row>
    <row r="731" spans="1:44">
      <c r="A731" s="2">
        <v>730</v>
      </c>
      <c r="B731" t="s">
        <v>10</v>
      </c>
      <c r="C731" t="s">
        <v>17</v>
      </c>
      <c r="D731" t="s">
        <v>15</v>
      </c>
      <c r="E731" s="3">
        <v>300</v>
      </c>
      <c r="F731" s="4">
        <v>44208</v>
      </c>
      <c r="G731" s="2" t="s">
        <v>12</v>
      </c>
      <c r="N731">
        <v>442</v>
      </c>
      <c r="O731" t="str">
        <v>PROGRAMA</v>
      </c>
      <c r="P731" t="str">
        <v>CLIENTE-0009</v>
      </c>
      <c r="Q731" t="str">
        <v>ALICANTE</v>
      </c>
      <c r="R731" s="10">
        <v>6500</v>
      </c>
      <c r="S731">
        <v>43570</v>
      </c>
      <c r="T731" t="str">
        <v>NO</v>
      </c>
      <c r="AN731">
        <v>729</v>
      </c>
      <c r="AO731" t="str">
        <v>CONSULTORIA</v>
      </c>
      <c r="AP731" t="str">
        <v>CLIENTE-0005</v>
      </c>
      <c r="AQ731">
        <v>750</v>
      </c>
      <c r="AR731" t="str">
        <v>SI</v>
      </c>
    </row>
    <row r="732" spans="1:44">
      <c r="A732" s="2">
        <v>731</v>
      </c>
      <c r="B732" t="s">
        <v>10</v>
      </c>
      <c r="C732" t="s">
        <v>19</v>
      </c>
      <c r="D732" t="s">
        <v>15</v>
      </c>
      <c r="E732" s="3">
        <v>350</v>
      </c>
      <c r="F732" s="4">
        <v>43501</v>
      </c>
      <c r="G732" s="2" t="s">
        <v>12</v>
      </c>
      <c r="N732">
        <v>465</v>
      </c>
      <c r="O732" t="str">
        <v>FORMACION</v>
      </c>
      <c r="P732" t="str">
        <v>CLIENTE-0010</v>
      </c>
      <c r="Q732" t="str">
        <v>MADRID</v>
      </c>
      <c r="R732" s="10">
        <v>6500</v>
      </c>
      <c r="S732">
        <v>44275</v>
      </c>
      <c r="T732" t="str">
        <v>SI</v>
      </c>
      <c r="AN732">
        <v>730</v>
      </c>
      <c r="AO732" t="str">
        <v>DESARROLLO</v>
      </c>
      <c r="AP732" t="str">
        <v>CLIENTE-0006</v>
      </c>
      <c r="AQ732">
        <v>300</v>
      </c>
      <c r="AR732" t="str">
        <v>SI</v>
      </c>
    </row>
    <row r="733" spans="1:44">
      <c r="A733" s="2">
        <v>732</v>
      </c>
      <c r="B733" t="s">
        <v>13</v>
      </c>
      <c r="C733" t="s">
        <v>23</v>
      </c>
      <c r="D733" t="s">
        <v>24</v>
      </c>
      <c r="E733" s="3">
        <v>8500</v>
      </c>
      <c r="F733" s="4">
        <v>44397</v>
      </c>
      <c r="G733" s="2" t="s">
        <v>12</v>
      </c>
      <c r="N733">
        <v>499</v>
      </c>
      <c r="O733" t="str">
        <v>FORMACION</v>
      </c>
      <c r="P733" t="str">
        <v>CLIENTE-0009</v>
      </c>
      <c r="Q733" t="str">
        <v>ALICANTE</v>
      </c>
      <c r="R733" s="10">
        <v>6500</v>
      </c>
      <c r="S733">
        <v>43891</v>
      </c>
      <c r="T733" t="str">
        <v>SI</v>
      </c>
      <c r="AN733">
        <v>731</v>
      </c>
      <c r="AO733" t="str">
        <v>DESARROLLO</v>
      </c>
      <c r="AP733" t="str">
        <v>CLIENTE-0007</v>
      </c>
      <c r="AQ733">
        <v>350</v>
      </c>
      <c r="AR733" t="str">
        <v>SI</v>
      </c>
    </row>
    <row r="734" spans="1:44">
      <c r="A734" s="2">
        <v>733</v>
      </c>
      <c r="B734" t="s">
        <v>16</v>
      </c>
      <c r="C734" t="s">
        <v>25</v>
      </c>
      <c r="D734" t="s">
        <v>24</v>
      </c>
      <c r="E734" s="3">
        <v>1200</v>
      </c>
      <c r="F734" s="4">
        <v>44209</v>
      </c>
      <c r="G734" s="2" t="s">
        <v>12</v>
      </c>
      <c r="N734">
        <v>511</v>
      </c>
      <c r="O734" t="str">
        <v>PROGRAMA</v>
      </c>
      <c r="P734" t="str">
        <v>CLIENTE-0001</v>
      </c>
      <c r="Q734" t="str">
        <v>MADRID</v>
      </c>
      <c r="R734" s="10">
        <v>6500</v>
      </c>
      <c r="S734">
        <v>44185</v>
      </c>
      <c r="T734" t="str">
        <v>NO</v>
      </c>
      <c r="AN734">
        <v>732</v>
      </c>
      <c r="AO734" t="str">
        <v>PROYECTO</v>
      </c>
      <c r="AP734" t="str">
        <v>CLIENTE-0008</v>
      </c>
      <c r="AQ734">
        <v>8500</v>
      </c>
      <c r="AR734" t="str">
        <v>SI</v>
      </c>
    </row>
    <row r="735" spans="1:44">
      <c r="A735" s="2">
        <v>734</v>
      </c>
      <c r="B735" t="s">
        <v>18</v>
      </c>
      <c r="C735" t="s">
        <v>26</v>
      </c>
      <c r="D735" t="s">
        <v>9</v>
      </c>
      <c r="E735" s="3">
        <v>300</v>
      </c>
      <c r="F735" s="4">
        <v>43867</v>
      </c>
      <c r="G735" s="2" t="s">
        <v>12</v>
      </c>
      <c r="N735">
        <v>534</v>
      </c>
      <c r="O735" t="str">
        <v>PROYECTO</v>
      </c>
      <c r="P735" t="str">
        <v>CLIENTE-0001</v>
      </c>
      <c r="Q735" t="str">
        <v>MADRID</v>
      </c>
      <c r="R735" s="10">
        <v>6500</v>
      </c>
      <c r="S735">
        <v>43632</v>
      </c>
      <c r="T735" t="str">
        <v>NO</v>
      </c>
      <c r="AN735">
        <v>733</v>
      </c>
      <c r="AO735" t="str">
        <v>EQUIPOS</v>
      </c>
      <c r="AP735" t="str">
        <v>CLIENTE-0009</v>
      </c>
      <c r="AQ735">
        <v>1200</v>
      </c>
      <c r="AR735" t="str">
        <v>SI</v>
      </c>
    </row>
    <row r="736" spans="1:44">
      <c r="A736" s="2">
        <v>735</v>
      </c>
      <c r="B736" t="s">
        <v>20</v>
      </c>
      <c r="C736" t="s">
        <v>11</v>
      </c>
      <c r="D736" t="s">
        <v>9</v>
      </c>
      <c r="E736" s="3">
        <v>200</v>
      </c>
      <c r="F736" s="4">
        <v>43936</v>
      </c>
      <c r="G736" s="2" t="s">
        <v>12</v>
      </c>
      <c r="N736">
        <v>568</v>
      </c>
      <c r="O736" t="str">
        <v>PROYECTO</v>
      </c>
      <c r="P736" t="str">
        <v>CLIENTE-0005</v>
      </c>
      <c r="Q736" t="str">
        <v>BARCELONA</v>
      </c>
      <c r="R736" s="10">
        <v>6500</v>
      </c>
      <c r="S736">
        <v>44031</v>
      </c>
      <c r="T736" t="str">
        <v>SI</v>
      </c>
      <c r="AN736">
        <v>734</v>
      </c>
      <c r="AO736" t="str">
        <v>PROGRAMA</v>
      </c>
      <c r="AP736" t="str">
        <v>CLIENTE-0010</v>
      </c>
      <c r="AQ736">
        <v>300</v>
      </c>
      <c r="AR736" t="str">
        <v>SI</v>
      </c>
    </row>
    <row r="737" spans="1:44">
      <c r="A737" s="2">
        <v>736</v>
      </c>
      <c r="B737" t="s">
        <v>22</v>
      </c>
      <c r="C737" t="s">
        <v>14</v>
      </c>
      <c r="D737" t="s">
        <v>15</v>
      </c>
      <c r="E737" s="3">
        <v>150</v>
      </c>
      <c r="F737" s="4">
        <v>44110</v>
      </c>
      <c r="G737" s="2" t="s">
        <v>12</v>
      </c>
      <c r="N737">
        <v>580</v>
      </c>
      <c r="O737" t="str">
        <v>DESARROLLO</v>
      </c>
      <c r="P737" t="str">
        <v>CLIENTE-0005</v>
      </c>
      <c r="Q737" t="str">
        <v>BARCELONA</v>
      </c>
      <c r="R737" s="10">
        <v>6500</v>
      </c>
      <c r="S737">
        <v>43942</v>
      </c>
      <c r="T737" t="str">
        <v>NO</v>
      </c>
      <c r="AN737">
        <v>735</v>
      </c>
      <c r="AO737" t="str">
        <v>FORMACION</v>
      </c>
      <c r="AP737" t="str">
        <v>CLIENTE-0004</v>
      </c>
      <c r="AQ737">
        <v>200</v>
      </c>
      <c r="AR737" t="str">
        <v>SI</v>
      </c>
    </row>
    <row r="738" spans="1:44">
      <c r="A738" s="2">
        <v>737</v>
      </c>
      <c r="B738" t="s">
        <v>10</v>
      </c>
      <c r="C738" t="s">
        <v>14</v>
      </c>
      <c r="D738" t="s">
        <v>15</v>
      </c>
      <c r="E738" s="3">
        <v>120</v>
      </c>
      <c r="F738" s="4">
        <v>44306</v>
      </c>
      <c r="G738" s="2" t="s">
        <v>12</v>
      </c>
      <c r="N738">
        <v>603</v>
      </c>
      <c r="O738" t="str">
        <v>PROYECTO</v>
      </c>
      <c r="P738" t="str">
        <v>CLIENTE-0008</v>
      </c>
      <c r="Q738" t="str">
        <v>ALICANTE</v>
      </c>
      <c r="R738" s="10">
        <v>6500</v>
      </c>
      <c r="S738">
        <v>43504</v>
      </c>
      <c r="T738" t="str">
        <v>NO</v>
      </c>
      <c r="AN738">
        <v>736</v>
      </c>
      <c r="AO738" t="str">
        <v>CONSULTORIA</v>
      </c>
      <c r="AP738" t="str">
        <v>CLIENTE-0005</v>
      </c>
      <c r="AQ738">
        <v>150</v>
      </c>
      <c r="AR738" t="str">
        <v>SI</v>
      </c>
    </row>
    <row r="739" spans="1:44">
      <c r="A739" s="2">
        <v>738</v>
      </c>
      <c r="B739" t="s">
        <v>13</v>
      </c>
      <c r="C739" t="s">
        <v>17</v>
      </c>
      <c r="D739" t="s">
        <v>15</v>
      </c>
      <c r="E739" s="3">
        <v>300</v>
      </c>
      <c r="F739" s="4">
        <v>43472</v>
      </c>
      <c r="G739" s="2" t="s">
        <v>12</v>
      </c>
      <c r="N739">
        <v>647</v>
      </c>
      <c r="O739" t="str">
        <v>EQUIPOS</v>
      </c>
      <c r="P739" t="str">
        <v>CLIENTE-0007</v>
      </c>
      <c r="Q739" t="str">
        <v>BARCELONA</v>
      </c>
      <c r="R739" s="10">
        <v>6500</v>
      </c>
      <c r="S739">
        <v>43608</v>
      </c>
      <c r="T739" t="str">
        <v>NO</v>
      </c>
      <c r="AN739">
        <v>737</v>
      </c>
      <c r="AO739" t="str">
        <v>DESARROLLO</v>
      </c>
      <c r="AP739" t="str">
        <v>CLIENTE-0005</v>
      </c>
      <c r="AQ739">
        <v>120</v>
      </c>
      <c r="AR739" t="str">
        <v>SI</v>
      </c>
    </row>
    <row r="740" spans="1:44">
      <c r="A740" s="2">
        <v>739</v>
      </c>
      <c r="B740" t="s">
        <v>16</v>
      </c>
      <c r="C740" t="s">
        <v>19</v>
      </c>
      <c r="D740" t="s">
        <v>15</v>
      </c>
      <c r="E740" s="3">
        <v>350</v>
      </c>
      <c r="F740" s="4">
        <v>43629</v>
      </c>
      <c r="G740" s="2" t="s">
        <v>12</v>
      </c>
      <c r="N740">
        <v>689</v>
      </c>
      <c r="O740" t="str">
        <v>CONSULTORIA</v>
      </c>
      <c r="P740" t="str">
        <v>CLIENTE-0009</v>
      </c>
      <c r="Q740" t="str">
        <v>ALICANTE</v>
      </c>
      <c r="R740" s="10">
        <v>6500</v>
      </c>
      <c r="S740">
        <v>43585</v>
      </c>
      <c r="T740" t="str">
        <v>SI</v>
      </c>
      <c r="AN740">
        <v>738</v>
      </c>
      <c r="AO740" t="str">
        <v>PROYECTO</v>
      </c>
      <c r="AP740" t="str">
        <v>CLIENTE-0006</v>
      </c>
      <c r="AQ740">
        <v>300</v>
      </c>
      <c r="AR740" t="str">
        <v>SI</v>
      </c>
    </row>
    <row r="741" spans="1:44">
      <c r="A741" s="2">
        <v>740</v>
      </c>
      <c r="B741" t="s">
        <v>18</v>
      </c>
      <c r="C741" t="s">
        <v>23</v>
      </c>
      <c r="D741" t="s">
        <v>24</v>
      </c>
      <c r="E741" s="3">
        <v>300</v>
      </c>
      <c r="F741" s="4">
        <v>44183</v>
      </c>
      <c r="G741" s="2" t="s">
        <v>28</v>
      </c>
      <c r="N741">
        <v>723</v>
      </c>
      <c r="O741" t="str">
        <v>CONSULTORIA</v>
      </c>
      <c r="P741" t="str">
        <v>CLIENTE-0001</v>
      </c>
      <c r="Q741" t="str">
        <v>MADRID</v>
      </c>
      <c r="R741" s="10">
        <v>6500</v>
      </c>
      <c r="S741">
        <v>43772</v>
      </c>
      <c r="T741" t="str">
        <v>SI</v>
      </c>
      <c r="AN741">
        <v>739</v>
      </c>
      <c r="AO741" t="str">
        <v>EQUIPOS</v>
      </c>
      <c r="AP741" t="str">
        <v>CLIENTE-0007</v>
      </c>
      <c r="AQ741">
        <v>350</v>
      </c>
      <c r="AR741" t="str">
        <v>SI</v>
      </c>
    </row>
    <row r="742" spans="1:44">
      <c r="A742" s="2">
        <v>741</v>
      </c>
      <c r="B742" t="s">
        <v>20</v>
      </c>
      <c r="C742" t="s">
        <v>17</v>
      </c>
      <c r="D742" t="s">
        <v>15</v>
      </c>
      <c r="E742" s="3">
        <v>120</v>
      </c>
      <c r="F742" s="4">
        <v>43636</v>
      </c>
      <c r="G742" s="2" t="s">
        <v>28</v>
      </c>
      <c r="N742">
        <v>754</v>
      </c>
      <c r="O742" t="str">
        <v>PROYECTO</v>
      </c>
      <c r="P742" t="str">
        <v>CLIENTE-0001</v>
      </c>
      <c r="Q742" t="str">
        <v>MADRID</v>
      </c>
      <c r="R742" s="10">
        <v>6500</v>
      </c>
      <c r="S742">
        <v>43476</v>
      </c>
      <c r="T742" t="str">
        <v>SI</v>
      </c>
      <c r="AN742">
        <v>740</v>
      </c>
      <c r="AO742" t="str">
        <v>PROGRAMA</v>
      </c>
      <c r="AP742" t="str">
        <v>CLIENTE-0008</v>
      </c>
      <c r="AQ742">
        <v>300</v>
      </c>
      <c r="AR742" t="str">
        <v>NO</v>
      </c>
    </row>
    <row r="743" spans="1:44">
      <c r="A743" s="2">
        <v>742</v>
      </c>
      <c r="B743" t="s">
        <v>22</v>
      </c>
      <c r="C743" t="s">
        <v>19</v>
      </c>
      <c r="D743" t="s">
        <v>15</v>
      </c>
      <c r="E743" s="3">
        <v>150</v>
      </c>
      <c r="F743" s="4">
        <v>44335</v>
      </c>
      <c r="G743" s="2" t="s">
        <v>28</v>
      </c>
      <c r="N743">
        <v>13</v>
      </c>
      <c r="O743" t="str">
        <v>DESARROLLO</v>
      </c>
      <c r="P743" t="str">
        <v>CLIENTE-0010</v>
      </c>
      <c r="Q743" t="str">
        <v>MADRID</v>
      </c>
      <c r="R743" s="10">
        <v>8500</v>
      </c>
      <c r="S743">
        <v>44356</v>
      </c>
      <c r="T743" t="str">
        <v>SI</v>
      </c>
      <c r="AN743">
        <v>741</v>
      </c>
      <c r="AO743" t="str">
        <v>FORMACION</v>
      </c>
      <c r="AP743" t="str">
        <v>CLIENTE-0006</v>
      </c>
      <c r="AQ743">
        <v>120</v>
      </c>
      <c r="AR743" t="str">
        <v>NO</v>
      </c>
    </row>
    <row r="744" spans="1:44">
      <c r="A744" s="2">
        <v>743</v>
      </c>
      <c r="B744" t="s">
        <v>10</v>
      </c>
      <c r="C744" t="s">
        <v>21</v>
      </c>
      <c r="D744" t="s">
        <v>9</v>
      </c>
      <c r="E744" s="3">
        <v>1200</v>
      </c>
      <c r="F744" s="4">
        <v>43576</v>
      </c>
      <c r="G744" s="2" t="s">
        <v>28</v>
      </c>
      <c r="N744">
        <v>36</v>
      </c>
      <c r="O744" t="str">
        <v>DESARROLLO</v>
      </c>
      <c r="P744" t="str">
        <v>CLIENTE-0001</v>
      </c>
      <c r="Q744" t="str">
        <v>MADRID</v>
      </c>
      <c r="R744" s="10">
        <v>8500</v>
      </c>
      <c r="S744">
        <v>43883</v>
      </c>
      <c r="T744" t="str">
        <v>SI</v>
      </c>
      <c r="AN744">
        <v>742</v>
      </c>
      <c r="AO744" t="str">
        <v>CONSULTORIA</v>
      </c>
      <c r="AP744" t="str">
        <v>CLIENTE-0007</v>
      </c>
      <c r="AQ744">
        <v>150</v>
      </c>
      <c r="AR744" t="str">
        <v>NO</v>
      </c>
    </row>
    <row r="745" spans="1:44">
      <c r="A745" s="2">
        <v>744</v>
      </c>
      <c r="B745" t="s">
        <v>13</v>
      </c>
      <c r="C745" t="s">
        <v>11</v>
      </c>
      <c r="D745" t="s">
        <v>9</v>
      </c>
      <c r="E745" s="3">
        <v>800</v>
      </c>
      <c r="F745" s="4">
        <v>43725</v>
      </c>
      <c r="G745" s="2" t="s">
        <v>28</v>
      </c>
      <c r="N745">
        <v>47</v>
      </c>
      <c r="O745" t="str">
        <v>CONSULTORIA</v>
      </c>
      <c r="P745" t="str">
        <v>CLIENTE-0005</v>
      </c>
      <c r="Q745" t="str">
        <v>BARCELONA</v>
      </c>
      <c r="R745" s="10">
        <v>8500</v>
      </c>
      <c r="S745">
        <v>44259</v>
      </c>
      <c r="T745" t="str">
        <v>NO</v>
      </c>
      <c r="AN745">
        <v>743</v>
      </c>
      <c r="AO745" t="str">
        <v>DESARROLLO</v>
      </c>
      <c r="AP745" t="str">
        <v>CLIENTE-0003</v>
      </c>
      <c r="AQ745">
        <v>1200</v>
      </c>
      <c r="AR745" t="str">
        <v>NO</v>
      </c>
    </row>
    <row r="746" spans="1:44">
      <c r="A746" s="2">
        <v>745</v>
      </c>
      <c r="B746" t="s">
        <v>16</v>
      </c>
      <c r="C746" t="s">
        <v>14</v>
      </c>
      <c r="D746" t="s">
        <v>15</v>
      </c>
      <c r="E746" s="3">
        <v>750</v>
      </c>
      <c r="F746" s="4">
        <v>43731</v>
      </c>
      <c r="G746" s="2" t="s">
        <v>28</v>
      </c>
      <c r="N746">
        <v>82</v>
      </c>
      <c r="O746" t="str">
        <v>DESARROLLO</v>
      </c>
      <c r="P746" t="str">
        <v>CLIENTE-0002</v>
      </c>
      <c r="Q746" t="str">
        <v>ALICANTE</v>
      </c>
      <c r="R746" s="10">
        <v>8500</v>
      </c>
      <c r="S746">
        <v>43717</v>
      </c>
      <c r="T746" t="str">
        <v>SI</v>
      </c>
      <c r="AN746">
        <v>744</v>
      </c>
      <c r="AO746" t="str">
        <v>PROYECTO</v>
      </c>
      <c r="AP746" t="str">
        <v>CLIENTE-0004</v>
      </c>
      <c r="AQ746">
        <v>800</v>
      </c>
      <c r="AR746" t="str">
        <v>NO</v>
      </c>
    </row>
    <row r="747" spans="1:44">
      <c r="A747" s="2">
        <v>746</v>
      </c>
      <c r="B747" t="s">
        <v>22</v>
      </c>
      <c r="C747" t="s">
        <v>14</v>
      </c>
      <c r="D747" t="s">
        <v>15</v>
      </c>
      <c r="E747" s="3">
        <v>4500</v>
      </c>
      <c r="F747" s="4">
        <v>44038</v>
      </c>
      <c r="G747" s="2" t="s">
        <v>28</v>
      </c>
      <c r="N747">
        <v>105</v>
      </c>
      <c r="O747" t="str">
        <v>DESARROLLO</v>
      </c>
      <c r="P747" t="str">
        <v>CLIENTE-0010</v>
      </c>
      <c r="Q747" t="str">
        <v>MADRID</v>
      </c>
      <c r="R747" s="10">
        <v>8500</v>
      </c>
      <c r="S747">
        <v>44206</v>
      </c>
      <c r="T747" t="str">
        <v>SI</v>
      </c>
      <c r="AN747">
        <v>745</v>
      </c>
      <c r="AO747" t="str">
        <v>EQUIPOS</v>
      </c>
      <c r="AP747" t="str">
        <v>CLIENTE-0005</v>
      </c>
      <c r="AQ747">
        <v>750</v>
      </c>
      <c r="AR747" t="str">
        <v>NO</v>
      </c>
    </row>
    <row r="748" spans="1:44">
      <c r="A748" s="2">
        <v>747</v>
      </c>
      <c r="B748" t="s">
        <v>10</v>
      </c>
      <c r="C748" t="s">
        <v>17</v>
      </c>
      <c r="D748" t="s">
        <v>15</v>
      </c>
      <c r="E748" s="3">
        <v>500</v>
      </c>
      <c r="F748" s="4">
        <v>43698</v>
      </c>
      <c r="G748" s="2" t="s">
        <v>12</v>
      </c>
      <c r="N748">
        <v>116</v>
      </c>
      <c r="O748" t="str">
        <v>EQUIPOS</v>
      </c>
      <c r="P748" t="str">
        <v>CLIENTE-0004</v>
      </c>
      <c r="Q748" t="str">
        <v>MADRID</v>
      </c>
      <c r="R748" s="10">
        <v>8500</v>
      </c>
      <c r="S748">
        <v>44242</v>
      </c>
      <c r="T748" t="str">
        <v>NO</v>
      </c>
      <c r="AN748">
        <v>746</v>
      </c>
      <c r="AO748" t="str">
        <v>CONSULTORIA</v>
      </c>
      <c r="AP748" t="str">
        <v>CLIENTE-0005</v>
      </c>
      <c r="AQ748">
        <v>4500</v>
      </c>
      <c r="AR748" t="str">
        <v>NO</v>
      </c>
    </row>
    <row r="749" spans="1:44">
      <c r="A749" s="2">
        <v>748</v>
      </c>
      <c r="B749" t="s">
        <v>13</v>
      </c>
      <c r="C749" t="s">
        <v>19</v>
      </c>
      <c r="D749" t="s">
        <v>15</v>
      </c>
      <c r="E749" s="3">
        <v>750</v>
      </c>
      <c r="F749" s="4">
        <v>44091</v>
      </c>
      <c r="G749" s="2" t="s">
        <v>12</v>
      </c>
      <c r="N749">
        <v>151</v>
      </c>
      <c r="O749" t="str">
        <v>PROGRAMA</v>
      </c>
      <c r="P749" t="str">
        <v>CLIENTE-0001</v>
      </c>
      <c r="Q749" t="str">
        <v>MADRID</v>
      </c>
      <c r="R749" s="10">
        <v>8500</v>
      </c>
      <c r="S749">
        <v>44140</v>
      </c>
      <c r="T749" t="str">
        <v>SI</v>
      </c>
      <c r="AN749">
        <v>747</v>
      </c>
      <c r="AO749" t="str">
        <v>DESARROLLO</v>
      </c>
      <c r="AP749" t="str">
        <v>CLIENTE-0006</v>
      </c>
      <c r="AQ749">
        <v>500</v>
      </c>
      <c r="AR749" t="str">
        <v>SI</v>
      </c>
    </row>
    <row r="750" spans="1:44">
      <c r="A750" s="2">
        <v>749</v>
      </c>
      <c r="B750" t="s">
        <v>16</v>
      </c>
      <c r="C750" t="s">
        <v>23</v>
      </c>
      <c r="D750" t="s">
        <v>24</v>
      </c>
      <c r="E750" s="3">
        <v>950</v>
      </c>
      <c r="F750" s="4">
        <v>44490</v>
      </c>
      <c r="G750" s="2" t="s">
        <v>12</v>
      </c>
      <c r="N750">
        <v>174</v>
      </c>
      <c r="O750" t="str">
        <v>FORMACION</v>
      </c>
      <c r="P750" t="str">
        <v>CLIENTE-0004</v>
      </c>
      <c r="Q750" t="str">
        <v>MADRID</v>
      </c>
      <c r="R750" s="10">
        <v>8500</v>
      </c>
      <c r="S750">
        <v>44462</v>
      </c>
      <c r="T750" t="str">
        <v>SI</v>
      </c>
      <c r="AN750">
        <v>748</v>
      </c>
      <c r="AO750" t="str">
        <v>PROYECTO</v>
      </c>
      <c r="AP750" t="str">
        <v>CLIENTE-0007</v>
      </c>
      <c r="AQ750">
        <v>750</v>
      </c>
      <c r="AR750" t="str">
        <v>SI</v>
      </c>
    </row>
    <row r="751" spans="1:44">
      <c r="A751" s="2">
        <v>750</v>
      </c>
      <c r="B751" t="s">
        <v>18</v>
      </c>
      <c r="C751" t="s">
        <v>25</v>
      </c>
      <c r="D751" t="s">
        <v>24</v>
      </c>
      <c r="E751" s="3">
        <v>680</v>
      </c>
      <c r="F751" s="4">
        <v>44152</v>
      </c>
      <c r="G751" s="2" t="s">
        <v>12</v>
      </c>
      <c r="N751">
        <v>185</v>
      </c>
      <c r="O751" t="str">
        <v>EQUIPOS</v>
      </c>
      <c r="P751" t="str">
        <v>CLIENTE-0007</v>
      </c>
      <c r="Q751" t="str">
        <v>BARCELONA</v>
      </c>
      <c r="R751" s="10">
        <v>8500</v>
      </c>
      <c r="S751">
        <v>43993</v>
      </c>
      <c r="T751" t="str">
        <v>NO</v>
      </c>
      <c r="AN751">
        <v>749</v>
      </c>
      <c r="AO751" t="str">
        <v>EQUIPOS</v>
      </c>
      <c r="AP751" t="str">
        <v>CLIENTE-0008</v>
      </c>
      <c r="AQ751">
        <v>950</v>
      </c>
      <c r="AR751" t="str">
        <v>SI</v>
      </c>
    </row>
    <row r="752" spans="1:44">
      <c r="A752" s="2">
        <v>751</v>
      </c>
      <c r="B752" t="s">
        <v>20</v>
      </c>
      <c r="C752" t="s">
        <v>26</v>
      </c>
      <c r="D752" t="s">
        <v>9</v>
      </c>
      <c r="E752" s="3">
        <v>950</v>
      </c>
      <c r="F752" s="4">
        <v>44475</v>
      </c>
      <c r="G752" s="2" t="s">
        <v>12</v>
      </c>
      <c r="N752">
        <v>220</v>
      </c>
      <c r="O752" t="str">
        <v>EQUIPOS</v>
      </c>
      <c r="P752" t="str">
        <v>CLIENTE-0010</v>
      </c>
      <c r="Q752" t="str">
        <v>MADRID</v>
      </c>
      <c r="R752" s="10">
        <v>8500</v>
      </c>
      <c r="S752">
        <v>44494</v>
      </c>
      <c r="T752" t="str">
        <v>SI</v>
      </c>
      <c r="AN752">
        <v>750</v>
      </c>
      <c r="AO752" t="str">
        <v>PROGRAMA</v>
      </c>
      <c r="AP752" t="str">
        <v>CLIENTE-0009</v>
      </c>
      <c r="AQ752">
        <v>680</v>
      </c>
      <c r="AR752" t="str">
        <v>SI</v>
      </c>
    </row>
    <row r="753" spans="1:44">
      <c r="A753" s="2">
        <v>752</v>
      </c>
      <c r="B753" t="s">
        <v>22</v>
      </c>
      <c r="C753" t="s">
        <v>27</v>
      </c>
      <c r="D753" t="s">
        <v>9</v>
      </c>
      <c r="E753" s="3">
        <v>1500</v>
      </c>
      <c r="F753" s="4">
        <v>43715</v>
      </c>
      <c r="G753" s="2" t="s">
        <v>12</v>
      </c>
      <c r="N753">
        <v>243</v>
      </c>
      <c r="O753" t="str">
        <v>PROYECTO</v>
      </c>
      <c r="P753" t="str">
        <v>CLIENTE-0008</v>
      </c>
      <c r="Q753" t="str">
        <v>ALICANTE</v>
      </c>
      <c r="R753" s="10">
        <v>8500</v>
      </c>
      <c r="S753">
        <v>44351</v>
      </c>
      <c r="T753" t="str">
        <v>SI</v>
      </c>
      <c r="AN753">
        <v>751</v>
      </c>
      <c r="AO753" t="str">
        <v>FORMACION</v>
      </c>
      <c r="AP753" t="str">
        <v>CLIENTE-0010</v>
      </c>
      <c r="AQ753">
        <v>950</v>
      </c>
      <c r="AR753" t="str">
        <v>SI</v>
      </c>
    </row>
    <row r="754" spans="1:44">
      <c r="A754" s="2">
        <v>753</v>
      </c>
      <c r="B754" t="s">
        <v>10</v>
      </c>
      <c r="C754" t="s">
        <v>26</v>
      </c>
      <c r="D754" t="s">
        <v>9</v>
      </c>
      <c r="E754" s="3">
        <v>5000</v>
      </c>
      <c r="F754" s="4">
        <v>43611</v>
      </c>
      <c r="G754" s="2" t="s">
        <v>12</v>
      </c>
      <c r="N754">
        <v>254</v>
      </c>
      <c r="O754" t="str">
        <v>EQUIPOS</v>
      </c>
      <c r="P754" t="str">
        <v>CLIENTE-0001</v>
      </c>
      <c r="Q754" t="str">
        <v>MADRID</v>
      </c>
      <c r="R754" s="10">
        <v>8500</v>
      </c>
      <c r="S754">
        <v>43582</v>
      </c>
      <c r="T754" t="str">
        <v>NO</v>
      </c>
      <c r="AN754">
        <v>752</v>
      </c>
      <c r="AO754" t="str">
        <v>CONSULTORIA</v>
      </c>
      <c r="AP754" t="str">
        <v>CLIENTE-0001</v>
      </c>
      <c r="AQ754">
        <v>1500</v>
      </c>
      <c r="AR754" t="str">
        <v>SI</v>
      </c>
    </row>
    <row r="755" spans="1:44">
      <c r="A755" s="2">
        <v>754</v>
      </c>
      <c r="B755" t="s">
        <v>13</v>
      </c>
      <c r="C755" t="s">
        <v>27</v>
      </c>
      <c r="D755" t="s">
        <v>9</v>
      </c>
      <c r="E755" s="3">
        <v>6500</v>
      </c>
      <c r="F755" s="4">
        <v>43476</v>
      </c>
      <c r="G755" s="2" t="s">
        <v>12</v>
      </c>
      <c r="N755">
        <v>286</v>
      </c>
      <c r="O755" t="str">
        <v>CONSULTORIA</v>
      </c>
      <c r="P755" t="str">
        <v>CLIENTE-0009</v>
      </c>
      <c r="Q755" t="str">
        <v>ALICANTE</v>
      </c>
      <c r="R755" s="10">
        <v>8500</v>
      </c>
      <c r="S755">
        <v>44177</v>
      </c>
      <c r="T755" t="str">
        <v>SI</v>
      </c>
      <c r="AN755">
        <v>753</v>
      </c>
      <c r="AO755" t="str">
        <v>DESARROLLO</v>
      </c>
      <c r="AP755" t="str">
        <v>CLIENTE-0010</v>
      </c>
      <c r="AQ755">
        <v>5000</v>
      </c>
      <c r="AR755" t="str">
        <v>SI</v>
      </c>
    </row>
    <row r="756" spans="1:44">
      <c r="A756" s="2">
        <v>755</v>
      </c>
      <c r="B756" t="s">
        <v>16</v>
      </c>
      <c r="C756" t="s">
        <v>29</v>
      </c>
      <c r="D756" t="s">
        <v>24</v>
      </c>
      <c r="E756" s="3">
        <v>8500</v>
      </c>
      <c r="F756" s="4">
        <v>43897</v>
      </c>
      <c r="G756" s="2" t="s">
        <v>28</v>
      </c>
      <c r="N756">
        <v>297</v>
      </c>
      <c r="O756" t="str">
        <v>PROYECTO</v>
      </c>
      <c r="P756" t="str">
        <v>CLIENTE-0008</v>
      </c>
      <c r="Q756" t="str">
        <v>ALICANTE</v>
      </c>
      <c r="R756" s="10">
        <v>8500</v>
      </c>
      <c r="S756">
        <v>43529</v>
      </c>
      <c r="T756" t="str">
        <v>SI</v>
      </c>
      <c r="AN756">
        <v>754</v>
      </c>
      <c r="AO756" t="str">
        <v>PROYECTO</v>
      </c>
      <c r="AP756" t="str">
        <v>CLIENTE-0001</v>
      </c>
      <c r="AQ756">
        <v>6500</v>
      </c>
      <c r="AR756" t="str">
        <v>SI</v>
      </c>
    </row>
    <row r="757" spans="1:44">
      <c r="A757" s="2">
        <v>756</v>
      </c>
      <c r="B757" t="s">
        <v>18</v>
      </c>
      <c r="C757" t="s">
        <v>21</v>
      </c>
      <c r="D757" t="s">
        <v>9</v>
      </c>
      <c r="E757" s="3">
        <v>1200</v>
      </c>
      <c r="F757" s="4">
        <v>43501</v>
      </c>
      <c r="G757" s="2" t="s">
        <v>28</v>
      </c>
      <c r="N757">
        <v>332</v>
      </c>
      <c r="O757" t="str">
        <v>EQUIPOS</v>
      </c>
      <c r="P757" t="str">
        <v>CLIENTE-0003</v>
      </c>
      <c r="Q757" t="str">
        <v>MADRID</v>
      </c>
      <c r="R757" s="10">
        <v>8500</v>
      </c>
      <c r="S757">
        <v>43779</v>
      </c>
      <c r="T757" t="str">
        <v>SI</v>
      </c>
      <c r="AN757">
        <v>755</v>
      </c>
      <c r="AO757" t="str">
        <v>EQUIPOS</v>
      </c>
      <c r="AP757" t="str">
        <v>CLIENTE-0002</v>
      </c>
      <c r="AQ757">
        <v>8500</v>
      </c>
      <c r="AR757" t="str">
        <v>NO</v>
      </c>
    </row>
    <row r="758" spans="1:44">
      <c r="A758" s="2">
        <v>757</v>
      </c>
      <c r="B758" t="s">
        <v>13</v>
      </c>
      <c r="C758" t="s">
        <v>11</v>
      </c>
      <c r="D758" t="s">
        <v>9</v>
      </c>
      <c r="E758" s="3">
        <v>300</v>
      </c>
      <c r="F758" s="4">
        <v>44248</v>
      </c>
      <c r="G758" s="2" t="s">
        <v>28</v>
      </c>
      <c r="N758">
        <v>355</v>
      </c>
      <c r="O758" t="str">
        <v>FORMACION</v>
      </c>
      <c r="P758" t="str">
        <v>CLIENTE-0001</v>
      </c>
      <c r="Q758" t="str">
        <v>MADRID</v>
      </c>
      <c r="R758" s="10">
        <v>8500</v>
      </c>
      <c r="S758">
        <v>43666</v>
      </c>
      <c r="T758" t="str">
        <v>SI</v>
      </c>
      <c r="AN758">
        <v>756</v>
      </c>
      <c r="AO758" t="str">
        <v>PROGRAMA</v>
      </c>
      <c r="AP758" t="str">
        <v>CLIENTE-0003</v>
      </c>
      <c r="AQ758">
        <v>1200</v>
      </c>
      <c r="AR758" t="str">
        <v>NO</v>
      </c>
    </row>
    <row r="759" spans="1:44">
      <c r="A759" s="2">
        <v>758</v>
      </c>
      <c r="B759" t="s">
        <v>16</v>
      </c>
      <c r="C759" t="s">
        <v>14</v>
      </c>
      <c r="D759" t="s">
        <v>15</v>
      </c>
      <c r="E759" s="3">
        <v>200</v>
      </c>
      <c r="F759" s="4">
        <v>43869</v>
      </c>
      <c r="G759" s="2" t="s">
        <v>28</v>
      </c>
      <c r="N759">
        <v>366</v>
      </c>
      <c r="O759" t="str">
        <v>CONSULTORIA</v>
      </c>
      <c r="P759" t="str">
        <v>CLIENTE-0005</v>
      </c>
      <c r="Q759" t="str">
        <v>BARCELONA</v>
      </c>
      <c r="R759" s="10">
        <v>8500</v>
      </c>
      <c r="S759">
        <v>44331</v>
      </c>
      <c r="T759" t="str">
        <v>SI</v>
      </c>
      <c r="AN759">
        <v>757</v>
      </c>
      <c r="AO759" t="str">
        <v>PROYECTO</v>
      </c>
      <c r="AP759" t="str">
        <v>CLIENTE-0004</v>
      </c>
      <c r="AQ759">
        <v>300</v>
      </c>
      <c r="AR759" t="str">
        <v>NO</v>
      </c>
    </row>
    <row r="760" spans="1:44">
      <c r="A760" s="2">
        <v>759</v>
      </c>
      <c r="B760" t="s">
        <v>18</v>
      </c>
      <c r="C760" t="s">
        <v>17</v>
      </c>
      <c r="D760" t="s">
        <v>15</v>
      </c>
      <c r="E760" s="3">
        <v>150</v>
      </c>
      <c r="F760" s="4">
        <v>43517</v>
      </c>
      <c r="G760" s="2" t="s">
        <v>12</v>
      </c>
      <c r="N760">
        <v>374</v>
      </c>
      <c r="O760" t="str">
        <v>PROYECTO</v>
      </c>
      <c r="P760" t="str">
        <v>CLIENTE-0010</v>
      </c>
      <c r="Q760" t="str">
        <v>MADRID</v>
      </c>
      <c r="R760" s="10">
        <v>8500</v>
      </c>
      <c r="S760">
        <v>43519</v>
      </c>
      <c r="T760" t="str">
        <v>SI</v>
      </c>
      <c r="AN760">
        <v>758</v>
      </c>
      <c r="AO760" t="str">
        <v>EQUIPOS</v>
      </c>
      <c r="AP760" t="str">
        <v>CLIENTE-0005</v>
      </c>
      <c r="AQ760">
        <v>200</v>
      </c>
      <c r="AR760" t="str">
        <v>NO</v>
      </c>
    </row>
    <row r="761" spans="1:44">
      <c r="A761" s="2">
        <v>760</v>
      </c>
      <c r="B761" t="s">
        <v>20</v>
      </c>
      <c r="C761" t="s">
        <v>19</v>
      </c>
      <c r="D761" t="s">
        <v>15</v>
      </c>
      <c r="E761" s="3">
        <v>120</v>
      </c>
      <c r="F761" s="4">
        <v>44450</v>
      </c>
      <c r="G761" s="2" t="s">
        <v>12</v>
      </c>
      <c r="N761">
        <v>397</v>
      </c>
      <c r="O761" t="str">
        <v>EQUIPOS</v>
      </c>
      <c r="P761" t="str">
        <v>CLIENTE-0009</v>
      </c>
      <c r="Q761" t="str">
        <v>ALICANTE</v>
      </c>
      <c r="R761" s="10">
        <v>8500</v>
      </c>
      <c r="S761">
        <v>43648</v>
      </c>
      <c r="T761" t="str">
        <v>SI</v>
      </c>
      <c r="AN761">
        <v>759</v>
      </c>
      <c r="AO761" t="str">
        <v>PROGRAMA</v>
      </c>
      <c r="AP761" t="str">
        <v>CLIENTE-0006</v>
      </c>
      <c r="AQ761">
        <v>150</v>
      </c>
      <c r="AR761" t="str">
        <v>SI</v>
      </c>
    </row>
    <row r="762" spans="1:44">
      <c r="A762" s="2">
        <v>761</v>
      </c>
      <c r="B762" t="s">
        <v>22</v>
      </c>
      <c r="C762" t="s">
        <v>23</v>
      </c>
      <c r="D762" t="s">
        <v>24</v>
      </c>
      <c r="E762" s="3">
        <v>300</v>
      </c>
      <c r="F762" s="4">
        <v>43755</v>
      </c>
      <c r="G762" s="2" t="s">
        <v>12</v>
      </c>
      <c r="N762">
        <v>408</v>
      </c>
      <c r="O762" t="str">
        <v>PROYECTO</v>
      </c>
      <c r="P762" t="str">
        <v>CLIENTE-0008</v>
      </c>
      <c r="Q762" t="str">
        <v>ALICANTE</v>
      </c>
      <c r="R762" s="10">
        <v>8500</v>
      </c>
      <c r="S762">
        <v>43514</v>
      </c>
      <c r="T762" t="str">
        <v>SI</v>
      </c>
      <c r="AN762">
        <v>760</v>
      </c>
      <c r="AO762" t="str">
        <v>FORMACION</v>
      </c>
      <c r="AP762" t="str">
        <v>CLIENTE-0007</v>
      </c>
      <c r="AQ762">
        <v>120</v>
      </c>
      <c r="AR762" t="str">
        <v>SI</v>
      </c>
    </row>
    <row r="763" spans="1:44">
      <c r="A763" s="2">
        <v>762</v>
      </c>
      <c r="B763" t="s">
        <v>10</v>
      </c>
      <c r="C763" t="s">
        <v>25</v>
      </c>
      <c r="D763" t="s">
        <v>24</v>
      </c>
      <c r="E763" s="3">
        <v>350</v>
      </c>
      <c r="F763" s="4">
        <v>43794</v>
      </c>
      <c r="G763" s="2" t="s">
        <v>12</v>
      </c>
      <c r="N763">
        <v>443</v>
      </c>
      <c r="O763" t="str">
        <v>FORMACION</v>
      </c>
      <c r="P763" t="str">
        <v>CLIENTE-0010</v>
      </c>
      <c r="Q763" t="str">
        <v>MADRID</v>
      </c>
      <c r="R763" s="10">
        <v>8500</v>
      </c>
      <c r="S763">
        <v>44278</v>
      </c>
      <c r="T763" t="str">
        <v>NO</v>
      </c>
      <c r="AN763">
        <v>761</v>
      </c>
      <c r="AO763" t="str">
        <v>CONSULTORIA</v>
      </c>
      <c r="AP763" t="str">
        <v>CLIENTE-0008</v>
      </c>
      <c r="AQ763">
        <v>300</v>
      </c>
      <c r="AR763" t="str">
        <v>SI</v>
      </c>
    </row>
    <row r="764" spans="1:44">
      <c r="A764" s="2">
        <v>763</v>
      </c>
      <c r="B764" t="s">
        <v>13</v>
      </c>
      <c r="C764" t="s">
        <v>26</v>
      </c>
      <c r="D764" t="s">
        <v>9</v>
      </c>
      <c r="E764" s="3">
        <v>300</v>
      </c>
      <c r="F764" s="4">
        <v>43499</v>
      </c>
      <c r="G764" s="2" t="s">
        <v>12</v>
      </c>
      <c r="N764">
        <v>466</v>
      </c>
      <c r="O764" t="str">
        <v>CONSULTORIA</v>
      </c>
      <c r="P764" t="str">
        <v>CLIENTE-0001</v>
      </c>
      <c r="Q764" t="str">
        <v>MADRID</v>
      </c>
      <c r="R764" s="10">
        <v>8500</v>
      </c>
      <c r="S764">
        <v>43898</v>
      </c>
      <c r="T764" t="str">
        <v>SI</v>
      </c>
      <c r="AN764">
        <v>762</v>
      </c>
      <c r="AO764" t="str">
        <v>DESARROLLO</v>
      </c>
      <c r="AP764" t="str">
        <v>CLIENTE-0009</v>
      </c>
      <c r="AQ764">
        <v>350</v>
      </c>
      <c r="AR764" t="str">
        <v>SI</v>
      </c>
    </row>
    <row r="765" spans="1:44">
      <c r="A765" s="2">
        <v>764</v>
      </c>
      <c r="B765" t="s">
        <v>16</v>
      </c>
      <c r="C765" t="s">
        <v>11</v>
      </c>
      <c r="D765" t="s">
        <v>9</v>
      </c>
      <c r="E765" s="3">
        <v>120</v>
      </c>
      <c r="F765" s="4">
        <v>43854</v>
      </c>
      <c r="G765" s="2" t="s">
        <v>12</v>
      </c>
      <c r="N765">
        <v>477</v>
      </c>
      <c r="O765" t="str">
        <v>FORMACION</v>
      </c>
      <c r="P765" t="str">
        <v>CLIENTE-0005</v>
      </c>
      <c r="Q765" t="str">
        <v>BARCELONA</v>
      </c>
      <c r="R765" s="10">
        <v>8500</v>
      </c>
      <c r="S765">
        <v>43641</v>
      </c>
      <c r="T765" t="str">
        <v>SI</v>
      </c>
      <c r="AN765">
        <v>763</v>
      </c>
      <c r="AO765" t="str">
        <v>PROYECTO</v>
      </c>
      <c r="AP765" t="str">
        <v>CLIENTE-0010</v>
      </c>
      <c r="AQ765">
        <v>300</v>
      </c>
      <c r="AR765" t="str">
        <v>SI</v>
      </c>
    </row>
    <row r="766" spans="1:44">
      <c r="A766" s="2">
        <v>765</v>
      </c>
      <c r="B766" t="s">
        <v>22</v>
      </c>
      <c r="C766" t="s">
        <v>14</v>
      </c>
      <c r="D766" t="s">
        <v>15</v>
      </c>
      <c r="E766" s="3">
        <v>150</v>
      </c>
      <c r="F766" s="4">
        <v>44328</v>
      </c>
      <c r="G766" s="2" t="s">
        <v>12</v>
      </c>
      <c r="N766">
        <v>512</v>
      </c>
      <c r="O766" t="str">
        <v>FORMACION</v>
      </c>
      <c r="P766" t="str">
        <v>CLIENTE-0002</v>
      </c>
      <c r="Q766" t="str">
        <v>ALICANTE</v>
      </c>
      <c r="R766" s="10">
        <v>8500</v>
      </c>
      <c r="S766">
        <v>44265</v>
      </c>
      <c r="T766" t="str">
        <v>SI</v>
      </c>
      <c r="AN766">
        <v>764</v>
      </c>
      <c r="AO766" t="str">
        <v>EQUIPOS</v>
      </c>
      <c r="AP766" t="str">
        <v>CLIENTE-0004</v>
      </c>
      <c r="AQ766">
        <v>120</v>
      </c>
      <c r="AR766" t="str">
        <v>SI</v>
      </c>
    </row>
    <row r="767" spans="1:44">
      <c r="A767" s="2">
        <v>766</v>
      </c>
      <c r="B767" t="s">
        <v>10</v>
      </c>
      <c r="C767" t="s">
        <v>14</v>
      </c>
      <c r="D767" t="s">
        <v>15</v>
      </c>
      <c r="E767" s="3">
        <v>8500</v>
      </c>
      <c r="F767" s="4">
        <v>44555</v>
      </c>
      <c r="G767" s="2" t="s">
        <v>12</v>
      </c>
      <c r="N767">
        <v>535</v>
      </c>
      <c r="O767" t="str">
        <v>EQUIPOS</v>
      </c>
      <c r="P767" t="str">
        <v>CLIENTE-0010</v>
      </c>
      <c r="Q767" t="str">
        <v>MADRID</v>
      </c>
      <c r="R767" s="10">
        <v>8500</v>
      </c>
      <c r="S767">
        <v>43722</v>
      </c>
      <c r="T767" t="str">
        <v>NO</v>
      </c>
      <c r="AN767">
        <v>765</v>
      </c>
      <c r="AO767" t="str">
        <v>CONSULTORIA</v>
      </c>
      <c r="AP767" t="str">
        <v>CLIENTE-0005</v>
      </c>
      <c r="AQ767">
        <v>150</v>
      </c>
      <c r="AR767" t="str">
        <v>SI</v>
      </c>
    </row>
    <row r="768" spans="1:44">
      <c r="A768" s="2">
        <v>767</v>
      </c>
      <c r="B768" t="s">
        <v>13</v>
      </c>
      <c r="C768" t="s">
        <v>17</v>
      </c>
      <c r="D768" t="s">
        <v>15</v>
      </c>
      <c r="E768" s="3">
        <v>1200</v>
      </c>
      <c r="F768" s="4">
        <v>43963</v>
      </c>
      <c r="G768" s="2" t="s">
        <v>12</v>
      </c>
      <c r="N768">
        <v>546</v>
      </c>
      <c r="O768" t="str">
        <v>PROYECTO</v>
      </c>
      <c r="P768" t="str">
        <v>CLIENTE-0004</v>
      </c>
      <c r="Q768" t="str">
        <v>MADRID</v>
      </c>
      <c r="R768" s="10">
        <v>8500</v>
      </c>
      <c r="S768">
        <v>44182</v>
      </c>
      <c r="T768" t="str">
        <v>SI</v>
      </c>
      <c r="AN768">
        <v>766</v>
      </c>
      <c r="AO768" t="str">
        <v>DESARROLLO</v>
      </c>
      <c r="AP768" t="str">
        <v>CLIENTE-0005</v>
      </c>
      <c r="AQ768">
        <v>8500</v>
      </c>
      <c r="AR768" t="str">
        <v>SI</v>
      </c>
    </row>
    <row r="769" spans="1:44">
      <c r="A769" s="2">
        <v>768</v>
      </c>
      <c r="B769" t="s">
        <v>16</v>
      </c>
      <c r="C769" t="s">
        <v>19</v>
      </c>
      <c r="D769" t="s">
        <v>15</v>
      </c>
      <c r="E769" s="3">
        <v>300</v>
      </c>
      <c r="F769" s="4">
        <v>44272</v>
      </c>
      <c r="G769" s="2" t="s">
        <v>12</v>
      </c>
      <c r="N769">
        <v>581</v>
      </c>
      <c r="O769" t="str">
        <v>PROYECTO</v>
      </c>
      <c r="P769" t="str">
        <v>CLIENTE-0006</v>
      </c>
      <c r="Q769" t="str">
        <v>BARCELONA</v>
      </c>
      <c r="R769" s="10">
        <v>8500</v>
      </c>
      <c r="S769">
        <v>44043</v>
      </c>
      <c r="T769" t="str">
        <v>SI</v>
      </c>
      <c r="AN769">
        <v>767</v>
      </c>
      <c r="AO769" t="str">
        <v>PROYECTO</v>
      </c>
      <c r="AP769" t="str">
        <v>CLIENTE-0006</v>
      </c>
      <c r="AQ769">
        <v>1200</v>
      </c>
      <c r="AR769" t="str">
        <v>SI</v>
      </c>
    </row>
    <row r="770" spans="1:44">
      <c r="A770" s="2">
        <v>769</v>
      </c>
      <c r="B770" t="s">
        <v>18</v>
      </c>
      <c r="C770" t="s">
        <v>23</v>
      </c>
      <c r="D770" t="s">
        <v>24</v>
      </c>
      <c r="E770" s="3">
        <v>200</v>
      </c>
      <c r="F770" s="4">
        <v>44342</v>
      </c>
      <c r="G770" s="2" t="s">
        <v>12</v>
      </c>
      <c r="N770">
        <v>604</v>
      </c>
      <c r="O770" t="str">
        <v>EQUIPOS</v>
      </c>
      <c r="P770" t="str">
        <v>CLIENTE-0009</v>
      </c>
      <c r="Q770" t="str">
        <v>ALICANTE</v>
      </c>
      <c r="R770" s="10">
        <v>8500</v>
      </c>
      <c r="S770">
        <v>44206</v>
      </c>
      <c r="T770" t="str">
        <v>NO</v>
      </c>
      <c r="AN770">
        <v>768</v>
      </c>
      <c r="AO770" t="str">
        <v>EQUIPOS</v>
      </c>
      <c r="AP770" t="str">
        <v>CLIENTE-0007</v>
      </c>
      <c r="AQ770">
        <v>300</v>
      </c>
      <c r="AR770" t="str">
        <v>SI</v>
      </c>
    </row>
    <row r="771" spans="1:44">
      <c r="A771" s="2">
        <v>770</v>
      </c>
      <c r="B771" t="s">
        <v>20</v>
      </c>
      <c r="C771" t="s">
        <v>25</v>
      </c>
      <c r="D771" t="s">
        <v>24</v>
      </c>
      <c r="E771" s="3">
        <v>150</v>
      </c>
      <c r="F771" s="4">
        <v>43665</v>
      </c>
      <c r="G771" s="2" t="s">
        <v>12</v>
      </c>
      <c r="N771">
        <v>615</v>
      </c>
      <c r="O771" t="str">
        <v>DESARROLLO</v>
      </c>
      <c r="P771" t="str">
        <v>CLIENTE-0007</v>
      </c>
      <c r="Q771" t="str">
        <v>BARCELONA</v>
      </c>
      <c r="R771" s="10">
        <v>8500</v>
      </c>
      <c r="S771">
        <v>44036</v>
      </c>
      <c r="T771" t="str">
        <v>SI</v>
      </c>
      <c r="AN771">
        <v>769</v>
      </c>
      <c r="AO771" t="str">
        <v>PROGRAMA</v>
      </c>
      <c r="AP771" t="str">
        <v>CLIENTE-0008</v>
      </c>
      <c r="AQ771">
        <v>200</v>
      </c>
      <c r="AR771" t="str">
        <v>SI</v>
      </c>
    </row>
    <row r="772" spans="1:44">
      <c r="A772" s="2">
        <v>771</v>
      </c>
      <c r="B772" t="s">
        <v>22</v>
      </c>
      <c r="C772" t="s">
        <v>26</v>
      </c>
      <c r="D772" t="s">
        <v>9</v>
      </c>
      <c r="E772" s="3">
        <v>120</v>
      </c>
      <c r="F772" s="4">
        <v>43583</v>
      </c>
      <c r="G772" s="2" t="s">
        <v>28</v>
      </c>
      <c r="N772">
        <v>648</v>
      </c>
      <c r="O772" t="str">
        <v>CONSULTORIA</v>
      </c>
      <c r="P772" t="str">
        <v>CLIENTE-0008</v>
      </c>
      <c r="Q772" t="str">
        <v>ALICANTE</v>
      </c>
      <c r="R772" s="10">
        <v>8500</v>
      </c>
      <c r="S772">
        <v>44172</v>
      </c>
      <c r="T772" t="str">
        <v>NO</v>
      </c>
      <c r="AN772">
        <v>770</v>
      </c>
      <c r="AO772" t="str">
        <v>FORMACION</v>
      </c>
      <c r="AP772" t="str">
        <v>CLIENTE-0009</v>
      </c>
      <c r="AQ772">
        <v>150</v>
      </c>
      <c r="AR772" t="str">
        <v>SI</v>
      </c>
    </row>
    <row r="773" spans="1:44">
      <c r="A773" s="2">
        <v>772</v>
      </c>
      <c r="B773" t="s">
        <v>10</v>
      </c>
      <c r="C773" t="s">
        <v>27</v>
      </c>
      <c r="D773" t="s">
        <v>9</v>
      </c>
      <c r="E773" s="3">
        <v>300</v>
      </c>
      <c r="F773" s="4">
        <v>44365</v>
      </c>
      <c r="G773" s="2" t="s">
        <v>28</v>
      </c>
      <c r="N773">
        <v>659</v>
      </c>
      <c r="O773" t="str">
        <v>FORMACION</v>
      </c>
      <c r="P773" t="str">
        <v>CLIENTE-0005</v>
      </c>
      <c r="Q773" t="str">
        <v>BARCELONA</v>
      </c>
      <c r="R773" s="10">
        <v>8500</v>
      </c>
      <c r="S773">
        <v>43723</v>
      </c>
      <c r="T773" t="str">
        <v>SI</v>
      </c>
      <c r="AN773">
        <v>771</v>
      </c>
      <c r="AO773" t="str">
        <v>CONSULTORIA</v>
      </c>
      <c r="AP773" t="str">
        <v>CLIENTE-0010</v>
      </c>
      <c r="AQ773">
        <v>120</v>
      </c>
      <c r="AR773" t="str">
        <v>NO</v>
      </c>
    </row>
    <row r="774" spans="1:44">
      <c r="A774" s="2">
        <v>773</v>
      </c>
      <c r="B774" t="s">
        <v>13</v>
      </c>
      <c r="C774" t="s">
        <v>26</v>
      </c>
      <c r="D774" t="s">
        <v>9</v>
      </c>
      <c r="E774" s="3">
        <v>350</v>
      </c>
      <c r="F774" s="4">
        <v>43743</v>
      </c>
      <c r="G774" s="2" t="s">
        <v>28</v>
      </c>
      <c r="N774">
        <v>667</v>
      </c>
      <c r="O774" t="str">
        <v>DESARROLLO</v>
      </c>
      <c r="P774" t="str">
        <v>CLIENTE-0010</v>
      </c>
      <c r="Q774" t="str">
        <v>MADRID</v>
      </c>
      <c r="R774" s="10">
        <v>8500</v>
      </c>
      <c r="S774">
        <v>44112</v>
      </c>
      <c r="T774" t="str">
        <v>SI</v>
      </c>
      <c r="AN774">
        <v>772</v>
      </c>
      <c r="AO774" t="str">
        <v>DESARROLLO</v>
      </c>
      <c r="AP774" t="str">
        <v>CLIENTE-0001</v>
      </c>
      <c r="AQ774">
        <v>300</v>
      </c>
      <c r="AR774" t="str">
        <v>NO</v>
      </c>
    </row>
    <row r="775" spans="1:44">
      <c r="A775" s="2">
        <v>774</v>
      </c>
      <c r="B775" t="s">
        <v>16</v>
      </c>
      <c r="C775" t="s">
        <v>27</v>
      </c>
      <c r="D775" t="s">
        <v>9</v>
      </c>
      <c r="E775" s="3">
        <v>300</v>
      </c>
      <c r="F775" s="4">
        <v>43487</v>
      </c>
      <c r="G775" s="2" t="s">
        <v>28</v>
      </c>
      <c r="N775">
        <v>690</v>
      </c>
      <c r="O775" t="str">
        <v>DESARROLLO</v>
      </c>
      <c r="P775" t="str">
        <v>CLIENTE-0010</v>
      </c>
      <c r="Q775" t="str">
        <v>MADRID</v>
      </c>
      <c r="R775" s="10">
        <v>8500</v>
      </c>
      <c r="S775">
        <v>43910</v>
      </c>
      <c r="T775" t="str">
        <v>SI</v>
      </c>
      <c r="AN775">
        <v>773</v>
      </c>
      <c r="AO775" t="str">
        <v>PROYECTO</v>
      </c>
      <c r="AP775" t="str">
        <v>CLIENTE-0010</v>
      </c>
      <c r="AQ775">
        <v>350</v>
      </c>
      <c r="AR775" t="str">
        <v>NO</v>
      </c>
    </row>
    <row r="776" spans="1:44">
      <c r="A776" s="2">
        <v>775</v>
      </c>
      <c r="B776" t="s">
        <v>18</v>
      </c>
      <c r="C776" t="s">
        <v>29</v>
      </c>
      <c r="D776" t="s">
        <v>24</v>
      </c>
      <c r="E776" s="3">
        <v>120</v>
      </c>
      <c r="F776" s="4">
        <v>44320</v>
      </c>
      <c r="G776" s="2" t="s">
        <v>28</v>
      </c>
      <c r="N776">
        <v>701</v>
      </c>
      <c r="O776" t="str">
        <v>CONSULTORIA</v>
      </c>
      <c r="P776" t="str">
        <v>CLIENTE-0009</v>
      </c>
      <c r="Q776" t="str">
        <v>ALICANTE</v>
      </c>
      <c r="R776" s="10">
        <v>8500</v>
      </c>
      <c r="S776">
        <v>44329</v>
      </c>
      <c r="T776" t="str">
        <v>NO</v>
      </c>
      <c r="AN776">
        <v>774</v>
      </c>
      <c r="AO776" t="str">
        <v>EQUIPOS</v>
      </c>
      <c r="AP776" t="str">
        <v>CLIENTE-0001</v>
      </c>
      <c r="AQ776">
        <v>300</v>
      </c>
      <c r="AR776" t="str">
        <v>NO</v>
      </c>
    </row>
    <row r="777" spans="1:44">
      <c r="A777" s="2">
        <v>776</v>
      </c>
      <c r="B777" t="s">
        <v>20</v>
      </c>
      <c r="C777" t="s">
        <v>21</v>
      </c>
      <c r="D777" t="s">
        <v>9</v>
      </c>
      <c r="E777" s="3">
        <v>150</v>
      </c>
      <c r="F777" s="4">
        <v>43920</v>
      </c>
      <c r="G777" s="2" t="s">
        <v>28</v>
      </c>
      <c r="N777">
        <v>732</v>
      </c>
      <c r="O777" t="str">
        <v>PROYECTO</v>
      </c>
      <c r="P777" t="str">
        <v>CLIENTE-0008</v>
      </c>
      <c r="Q777" t="str">
        <v>ALICANTE</v>
      </c>
      <c r="R777" s="10">
        <v>8500</v>
      </c>
      <c r="S777">
        <v>44397</v>
      </c>
      <c r="T777" t="str">
        <v>SI</v>
      </c>
      <c r="AN777">
        <v>775</v>
      </c>
      <c r="AO777" t="str">
        <v>PROGRAMA</v>
      </c>
      <c r="AP777" t="str">
        <v>CLIENTE-0002</v>
      </c>
      <c r="AQ777">
        <v>120</v>
      </c>
      <c r="AR777" t="str">
        <v>NO</v>
      </c>
    </row>
    <row r="778" spans="1:44">
      <c r="A778" s="2">
        <v>777</v>
      </c>
      <c r="B778" t="s">
        <v>22</v>
      </c>
      <c r="C778" t="s">
        <v>11</v>
      </c>
      <c r="D778" t="s">
        <v>9</v>
      </c>
      <c r="E778" s="3">
        <v>1200</v>
      </c>
      <c r="F778" s="4">
        <v>43529</v>
      </c>
      <c r="G778" s="2" t="s">
        <v>28</v>
      </c>
      <c r="N778">
        <v>755</v>
      </c>
      <c r="O778" t="str">
        <v>EQUIPOS</v>
      </c>
      <c r="P778" t="str">
        <v>CLIENTE-0002</v>
      </c>
      <c r="Q778" t="str">
        <v>ALICANTE</v>
      </c>
      <c r="R778" s="10">
        <v>8500</v>
      </c>
      <c r="S778">
        <v>43897</v>
      </c>
      <c r="T778" t="str">
        <v>NO</v>
      </c>
      <c r="AN778">
        <v>776</v>
      </c>
      <c r="AO778" t="str">
        <v>FORMACION</v>
      </c>
      <c r="AP778" t="str">
        <v>CLIENTE-0003</v>
      </c>
      <c r="AQ778">
        <v>150</v>
      </c>
      <c r="AR778" t="str">
        <v>NO</v>
      </c>
    </row>
    <row r="779" spans="1:44">
      <c r="A779" s="2">
        <v>778</v>
      </c>
      <c r="B779" t="s">
        <v>10</v>
      </c>
      <c r="C779" t="s">
        <v>14</v>
      </c>
      <c r="D779" t="s">
        <v>15</v>
      </c>
      <c r="E779" s="3">
        <v>800</v>
      </c>
      <c r="F779" s="4">
        <v>44266</v>
      </c>
      <c r="G779" s="2" t="s">
        <v>12</v>
      </c>
      <c r="N779">
        <v>766</v>
      </c>
      <c r="O779" t="str">
        <v>DESARROLLO</v>
      </c>
      <c r="P779" t="str">
        <v>CLIENTE-0005</v>
      </c>
      <c r="Q779" t="str">
        <v>BARCELONA</v>
      </c>
      <c r="R779" s="10">
        <v>8500</v>
      </c>
      <c r="S779">
        <v>44555</v>
      </c>
      <c r="T779" t="str">
        <v>SI</v>
      </c>
      <c r="AN779">
        <v>777</v>
      </c>
      <c r="AO779" t="str">
        <v>CONSULTORIA</v>
      </c>
      <c r="AP779" t="str">
        <v>CLIENTE-0004</v>
      </c>
      <c r="AQ779">
        <v>1200</v>
      </c>
      <c r="AR779" t="str">
        <v>NO</v>
      </c>
    </row>
    <row r="780" spans="1:44">
      <c r="AN780">
        <v>778</v>
      </c>
      <c r="AO780" t="str">
        <v>DESARROLLO</v>
      </c>
      <c r="AP780" t="str">
        <v>CLIENTE-0005</v>
      </c>
      <c r="AQ780">
        <v>800</v>
      </c>
      <c r="AR780" t="str">
        <v>SI</v>
      </c>
    </row>
  </sheetData>
  <pageMargins left="0.75" right="0.75" top="1" bottom="1" header="0" footer="0"/>
  <pageSetup paperSize="9" orientation="portrait" verticalDpi="0" r:id="rId1"/>
  <headerFooter alignWithMargins="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CA420-EFBD-46B8-B856-3D6373C703D6}">
  <dimension ref="A1:C19"/>
  <sheetViews>
    <sheetView topLeftCell="A11" workbookViewId="0">
      <selection activeCell="C20" sqref="C20"/>
    </sheetView>
  </sheetViews>
  <sheetFormatPr defaultRowHeight="12.75"/>
  <cols>
    <col min="2" max="2" width="16.28515625" bestFit="1" customWidth="1"/>
  </cols>
  <sheetData>
    <row r="1" spans="1:3" ht="15.75">
      <c r="A1" s="5"/>
    </row>
    <row r="13" spans="1:3" ht="15.75">
      <c r="B13" s="7" t="s">
        <v>30</v>
      </c>
      <c r="C13" t="s">
        <v>31</v>
      </c>
    </row>
    <row r="15" spans="1:3" ht="15.75">
      <c r="B15" s="7" t="s">
        <v>32</v>
      </c>
      <c r="C15" t="s">
        <v>33</v>
      </c>
    </row>
    <row r="17" spans="2:3" ht="15.75">
      <c r="B17" s="7" t="s">
        <v>34</v>
      </c>
      <c r="C17" t="s">
        <v>35</v>
      </c>
    </row>
    <row r="19" spans="2:3" ht="15.75">
      <c r="B19" s="7" t="s">
        <v>36</v>
      </c>
      <c r="C19" t="s">
        <v>37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Eduardo Cóndor</dc:creator>
  <cp:keywords/>
  <dc:description/>
  <cp:lastModifiedBy/>
  <cp:revision/>
  <dcterms:created xsi:type="dcterms:W3CDTF">2025-03-16T16:12:42Z</dcterms:created>
  <dcterms:modified xsi:type="dcterms:W3CDTF">2026-08-01T14:45:12Z</dcterms:modified>
  <cp:category/>
  <cp:contentStatus/>
</cp:coreProperties>
</file>