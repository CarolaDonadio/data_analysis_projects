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A78F689-BBCB-4543-9B12-6DB9101C939A}" xr6:coauthVersionLast="47" xr6:coauthVersionMax="47" xr10:uidLastSave="{00000000-0000-0000-0000-000000000000}"/>
  <bookViews>
    <workbookView xWindow="-120" yWindow="-120" windowWidth="20730" windowHeight="11040" activeTab="3" xr2:uid="{B5E93CC2-3E5D-4F31-AE22-95D5D294B8BF}"/>
  </bookViews>
  <sheets>
    <sheet name="Tablas" sheetId="1" r:id="rId1"/>
    <sheet name="Movimientos" sheetId="2" r:id="rId2"/>
    <sheet name="Fórmulas" sheetId="3" r:id="rId3"/>
    <sheet name="Tablero" sheetId="4" r:id="rId4"/>
  </sheets>
  <definedNames>
    <definedName name="_xlchart.v1.0" hidden="1">Tablero!$K$16</definedName>
    <definedName name="_xlchart.v1.1" hidden="1">Tablero!$K$16:$K$16</definedName>
    <definedName name="_xlchart.v1.10" hidden="1">Tablero!$M$16:$M$16</definedName>
    <definedName name="_xlchart.v1.11" hidden="1">Tablero!$M$16:$M$17</definedName>
    <definedName name="_xlchart.v1.2" hidden="1">Tablero!$K$16:$K$16</definedName>
    <definedName name="_xlchart.v1.3" hidden="1">Tablero!$K$16:$K$17</definedName>
    <definedName name="_xlchart.v1.4" hidden="1">Tablero!$L$16</definedName>
    <definedName name="_xlchart.v1.5" hidden="1">Tablero!$L$16:$L$16</definedName>
    <definedName name="_xlchart.v1.6" hidden="1">Tablero!$L$16:$L$16</definedName>
    <definedName name="_xlchart.v1.7" hidden="1">Tablero!$L$16:$L$17</definedName>
    <definedName name="_xlchart.v1.8" hidden="1">Tablero!$M$16</definedName>
    <definedName name="_xlchart.v1.9" hidden="1">Tablero!$M$16:$M$16</definedName>
    <definedName name="nomAlm">tAlm[Almacén]</definedName>
    <definedName name="nomCat">tCatMov[Nombre]</definedName>
    <definedName name="nomSignoCategoriaTablaMov" comment="A los ingresos (1) les pone valor 1 y a los egresos (2) le pone valor -1">CHOOSE(_xlfn.XLOOKUP(tMov[Categoría], tCatMov[Nombre],tCatMov[Id.Movimiento]),1,-1)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1" i="3" l="1" a="1"/>
  <c r="D21" i="3"/>
  <c r="D2" i="3" a="1"/>
  <c r="D2" i="3"/>
  <c r="E29" i="3" a="1"/>
  <c r="E29" i="3"/>
  <c r="D29" i="3" a="1"/>
  <c r="D29" i="3"/>
  <c r="A3" i="3" a="1"/>
  <c r="A3" i="3"/>
  <c r="G4" i="2" a="1"/>
  <c r="G4" i="2"/>
  <c r="E16" i="4" l="1" a="1"/>
  <c r="E16" i="4" s="1"/>
  <c r="E3" i="4" a="1"/>
  <c r="E3" i="4" s="1"/>
  <c r="O16" i="4" a="1"/>
  <c r="O16" i="4" s="1"/>
  <c r="S4" i="4" s="1"/>
  <c r="K16" i="4" a="1"/>
  <c r="K16" i="4" s="1"/>
  <c r="K9" i="4" a="1"/>
  <c r="K9" i="4" s="1"/>
  <c r="S3" i="4" s="1"/>
  <c r="S5" i="4" s="1"/>
  <c r="T5" i="4" s="1"/>
  <c r="K3" i="4" a="1"/>
  <c r="K3" i="4" s="1"/>
  <c r="G29" i="3" a="1"/>
  <c r="G29" i="3" s="1"/>
  <c r="F29" i="3" a="1"/>
  <c r="F29" i="3" s="1"/>
  <c r="T4" i="4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<sst xmlns="http://schemas.openxmlformats.org/spreadsheetml/2006/main" count="158" uniqueCount="86">
  <si>
    <t>Categorias de los movimientos ingreso (1) y egreso (2)</t>
  </si>
  <si>
    <t>Id, Categoria</t>
  </si>
  <si>
    <t>Id.Movimiento</t>
  </si>
  <si>
    <t>Nombre</t>
  </si>
  <si>
    <t>Ing.x salario</t>
  </si>
  <si>
    <t>Ing. x asesoría</t>
  </si>
  <si>
    <t>Ing. de ajuste</t>
  </si>
  <si>
    <t>Ing. x inversión</t>
  </si>
  <si>
    <t>Egr. de ajuste</t>
  </si>
  <si>
    <t>Ser. Públicos</t>
  </si>
  <si>
    <t>alimentación</t>
  </si>
  <si>
    <t>compras</t>
  </si>
  <si>
    <t>rentas</t>
  </si>
  <si>
    <t>salud &amp; pensión</t>
  </si>
  <si>
    <t>impuestos</t>
  </si>
  <si>
    <t>membresías</t>
  </si>
  <si>
    <t>reparaciones</t>
  </si>
  <si>
    <t>educación</t>
  </si>
  <si>
    <t>transporte</t>
  </si>
  <si>
    <t>despensa</t>
  </si>
  <si>
    <t>vestuario</t>
  </si>
  <si>
    <t>medicina</t>
  </si>
  <si>
    <t>Almacenamientos de los ingresos</t>
  </si>
  <si>
    <t>Id. Almacén</t>
  </si>
  <si>
    <t>Almacén</t>
  </si>
  <si>
    <t>BBVA</t>
  </si>
  <si>
    <t>Santander</t>
  </si>
  <si>
    <t>Depósito &amp; inversión</t>
  </si>
  <si>
    <t>Registre todos los movimientos de ingreso y egreso de los almacenamientos</t>
  </si>
  <si>
    <t>Fecha</t>
  </si>
  <si>
    <t>Categoría</t>
  </si>
  <si>
    <t>Detalle</t>
  </si>
  <si>
    <t>Saldo en cuenta inicial</t>
  </si>
  <si>
    <t>Valor</t>
  </si>
  <si>
    <t>CDT - Depósitos - Inversiones iniciales</t>
  </si>
  <si>
    <t>Dinero en efectivo inicial</t>
  </si>
  <si>
    <t>Efectivo</t>
  </si>
  <si>
    <t>Compra del supermercado semanal</t>
  </si>
  <si>
    <t>Renta enero 2026</t>
  </si>
  <si>
    <t>Categoría Tabla Movimientos</t>
  </si>
  <si>
    <t>Balance General</t>
  </si>
  <si>
    <t>Total</t>
  </si>
  <si>
    <t>Egreso para abrir un depósito</t>
  </si>
  <si>
    <t>Apertura depósito CDT 10 Meses</t>
  </si>
  <si>
    <t>Egresos por categorías por períodos mensuales</t>
  </si>
  <si>
    <t>Cena de bienvenida de año</t>
  </si>
  <si>
    <t>Pago luz y gas bimestral</t>
  </si>
  <si>
    <t>Periodo de análisis</t>
  </si>
  <si>
    <t>Supermercado compra mensual</t>
  </si>
  <si>
    <t>Aporte prepagada y pensión</t>
  </si>
  <si>
    <t>Carga tarjeta SUBE / Gasolina</t>
  </si>
  <si>
    <t>Suscripción Netflix y Spotify</t>
  </si>
  <si>
    <t>Pago impuesto inmobiliario</t>
  </si>
  <si>
    <t>Inscripción curso de Python</t>
  </si>
  <si>
    <t>Pago alquiler departamento</t>
  </si>
  <si>
    <t>Arreglo de plomería cocina</t>
  </si>
  <si>
    <t>Compra de medicamentos en farmacia</t>
  </si>
  <si>
    <t>Regalo de aniversario</t>
  </si>
  <si>
    <t>Supermercado quincenal</t>
  </si>
  <si>
    <t>Zapatillas deportivas</t>
  </si>
  <si>
    <t>Cobro rendimiento inversiones</t>
  </si>
  <si>
    <t>Servicio de Internet y Cable</t>
  </si>
  <si>
    <t>Membresía cuota gimnasio</t>
  </si>
  <si>
    <t>2026-03</t>
  </si>
  <si>
    <t>Valor Actual</t>
  </si>
  <si>
    <t>Valor Anterior</t>
  </si>
  <si>
    <t>Variación</t>
  </si>
  <si>
    <t>Variación (mismo resultado)</t>
  </si>
  <si>
    <t>Ingresos por categorías por períodos mensuales</t>
  </si>
  <si>
    <t>Egresos</t>
  </si>
  <si>
    <t>Año</t>
  </si>
  <si>
    <t>Mes</t>
  </si>
  <si>
    <t>Seleccione el período</t>
  </si>
  <si>
    <t>Egresos por categoría en el período seleccionado</t>
  </si>
  <si>
    <t>Promedio</t>
  </si>
  <si>
    <t>Ingresos por categoría en el período seleccionado</t>
  </si>
  <si>
    <t>→ Para realizar traslados entre cuentas o almacenes</t>
  </si>
  <si>
    <t>→ Para abrir o liquidar Depósitos, Inversiones, etc</t>
  </si>
  <si>
    <t>Ingreso</t>
  </si>
  <si>
    <t>Egreso</t>
  </si>
  <si>
    <t>Ahorrado</t>
  </si>
  <si>
    <t>Asesoría de inglés</t>
  </si>
  <si>
    <t>Salario</t>
  </si>
  <si>
    <r>
      <rPr>
        <b/>
        <sz val="10"/>
        <color rgb="FFFF3399"/>
        <rFont val="Aptos Narrow"/>
        <family val="2"/>
        <scheme val="minor"/>
      </rPr>
      <t>Nota</t>
    </r>
    <r>
      <rPr>
        <sz val="10"/>
        <color rgb="FFFF3399"/>
        <rFont val="Aptos Narrow"/>
        <family val="2"/>
        <scheme val="minor"/>
      </rPr>
      <t>: Utiliza los "</t>
    </r>
    <r>
      <rPr>
        <i/>
        <sz val="10"/>
        <color rgb="FFFF3399"/>
        <rFont val="Aptos Narrow"/>
        <family val="2"/>
        <scheme val="minor"/>
      </rPr>
      <t>Ingresos de ajuste</t>
    </r>
    <r>
      <rPr>
        <sz val="10"/>
        <color rgb="FFFF3399"/>
        <rFont val="Aptos Narrow"/>
        <family val="2"/>
        <scheme val="minor"/>
      </rPr>
      <t>" y "</t>
    </r>
    <r>
      <rPr>
        <i/>
        <sz val="10"/>
        <color rgb="FFFF3399"/>
        <rFont val="Aptos Narrow"/>
        <family val="2"/>
        <scheme val="minor"/>
      </rPr>
      <t>Egresos de ajuste</t>
    </r>
    <r>
      <rPr>
        <sz val="10"/>
        <color rgb="FFFF3399"/>
        <rFont val="Aptos Narrow"/>
        <family val="2"/>
        <scheme val="minor"/>
      </rPr>
      <t>"</t>
    </r>
  </si>
  <si>
    <t>Comparativos de ingresos y egresos respecto del promedio y dinero ahorrado respecto del gastado en el período de tiempo seleccionado</t>
  </si>
  <si>
    <t>impuestos municipales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</si>
</sst>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&quot;$&quot;\ #,##0.00"/>
    <numFmt numFmtId="165" formatCode="[Red]#.0%&quot;↓&quot;;[Blue]#.0%&quot;↑&quot;;0%;"/>
    <numFmt numFmtId="166" formatCode="[Blue]#.0%&quot;↑&quot;;[Red]#.0%&quot;↓&quot;;0%;"/>
    <numFmt numFmtId="167" formatCode="0.0%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i/>
      <sz val="11"/>
      <color theme="4"/>
      <name val="Aptos Narrow"/>
      <family val="2"/>
      <scheme val="minor"/>
    </font>
    <font>
      <b/>
      <i/>
      <sz val="11"/>
      <color rgb="FFFF3399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rgb="FFFF3399"/>
      <name val="Aptos Narrow"/>
      <family val="2"/>
      <scheme val="minor"/>
    </font>
    <font>
      <b/>
      <sz val="10"/>
      <color rgb="FFFF3399"/>
      <name val="Aptos Narrow"/>
      <family val="2"/>
      <scheme val="minor"/>
    </font>
    <font>
      <i/>
      <sz val="10"/>
      <color rgb="FFFF3399"/>
      <name val="Aptos Narrow"/>
      <family val="2"/>
      <scheme val="minor"/>
    </font>
    <font>
      <sz val="11"/>
      <color rgb="FFFF3399"/>
      <name val="Aptos Narrow"/>
      <family val="2"/>
      <scheme val="minor"/>
    </font>
    <font>
      <sz val="10"/>
      <color rgb="FFFF3399"/>
      <name val="Aptos Narrow"/>
      <family val="2"/>
    </font>
    <font>
      <sz val="11"/>
      <color rgb="FFFF3399"/>
      <name val="Aptos Narrow"/>
      <family val="2"/>
    </font>
    <font>
      <i/>
      <sz val="12"/>
      <color rgb="FFF51766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91B6A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51766"/>
        <bgColor indexed="64"/>
      </patternFill>
    </fill>
    <fill>
      <patternFill patternType="solid">
        <fgColor rgb="FFFE729D"/>
        <bgColor indexed="64"/>
      </patternFill>
    </fill>
    <fill>
      <patternFill patternType="solid">
        <fgColor rgb="FFF8568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2" tint="-9.9978637043366805E-2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44" fontId="0" fillId="0" borderId="0" xfId="1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0" borderId="0" xfId="0" applyFont="1"/>
    <xf numFmtId="0" fontId="3" fillId="2" borderId="0" xfId="0" applyFont="1" applyFill="1"/>
    <xf numFmtId="0" fontId="3" fillId="2" borderId="0" xfId="1" applyNumberFormat="1" applyFont="1" applyFill="1"/>
    <xf numFmtId="0" fontId="3" fillId="3" borderId="0" xfId="0" applyFont="1" applyFill="1"/>
    <xf numFmtId="0" fontId="3" fillId="4" borderId="0" xfId="0" applyFont="1" applyFill="1"/>
    <xf numFmtId="14" fontId="5" fillId="0" borderId="0" xfId="0" applyNumberFormat="1" applyFont="1" applyAlignment="1">
      <alignment horizontal="left"/>
    </xf>
    <xf numFmtId="0" fontId="5" fillId="0" borderId="0" xfId="0" applyFont="1"/>
    <xf numFmtId="44" fontId="5" fillId="0" borderId="0" xfId="1" applyFont="1"/>
    <xf numFmtId="14" fontId="6" fillId="0" borderId="0" xfId="0" applyNumberFormat="1" applyFont="1" applyAlignment="1">
      <alignment horizontal="left"/>
    </xf>
    <xf numFmtId="0" fontId="6" fillId="0" borderId="0" xfId="0" applyFont="1"/>
    <xf numFmtId="44" fontId="6" fillId="0" borderId="0" xfId="1" applyFont="1"/>
    <xf numFmtId="0" fontId="2" fillId="5" borderId="0" xfId="0" applyFont="1" applyFill="1"/>
    <xf numFmtId="164" fontId="0" fillId="0" borderId="0" xfId="0" applyNumberFormat="1"/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0" fillId="2" borderId="0" xfId="0" applyFill="1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10" fontId="0" fillId="0" borderId="0" xfId="0" applyNumberFormat="1"/>
    <xf numFmtId="0" fontId="2" fillId="0" borderId="0" xfId="0" applyFont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7" fillId="0" borderId="0" xfId="0" applyFont="1" applyAlignment="1">
      <alignment horizontal="left"/>
    </xf>
    <xf numFmtId="0" fontId="2" fillId="8" borderId="1" xfId="0" applyFont="1" applyFill="1" applyBorder="1" applyAlignment="1">
      <alignment horizontal="center" vertical="center"/>
    </xf>
    <xf numFmtId="0" fontId="4" fillId="0" borderId="2" xfId="0" applyFont="1" applyBorder="1"/>
    <xf numFmtId="165" fontId="0" fillId="0" borderId="0" xfId="0" applyNumberFormat="1"/>
    <xf numFmtId="0" fontId="2" fillId="9" borderId="1" xfId="0" applyFont="1" applyFill="1" applyBorder="1" applyAlignment="1">
      <alignment horizontal="center" vertical="center"/>
    </xf>
    <xf numFmtId="164" fontId="8" fillId="0" borderId="0" xfId="0" applyNumberFormat="1" applyFont="1"/>
    <xf numFmtId="166" fontId="0" fillId="0" borderId="0" xfId="0" applyNumberFormat="1"/>
    <xf numFmtId="44" fontId="9" fillId="10" borderId="0" xfId="1" applyFont="1" applyFill="1"/>
    <xf numFmtId="0" fontId="8" fillId="0" borderId="0" xfId="0" applyFont="1" applyFill="1"/>
    <xf numFmtId="44" fontId="9" fillId="6" borderId="0" xfId="1" applyFont="1" applyFill="1"/>
    <xf numFmtId="44" fontId="0" fillId="0" borderId="0" xfId="0" applyNumberFormat="1"/>
    <xf numFmtId="167" fontId="0" fillId="0" borderId="0" xfId="2" applyNumberFormat="1" applyFont="1"/>
    <xf numFmtId="0" fontId="10" fillId="0" borderId="0" xfId="0" applyFont="1" applyFill="1"/>
    <xf numFmtId="0" fontId="13" fillId="0" borderId="0" xfId="0" applyFont="1" applyFill="1"/>
    <xf numFmtId="0" fontId="14" fillId="0" borderId="0" xfId="0" applyFont="1" applyFill="1"/>
    <xf numFmtId="0" fontId="15" fillId="0" borderId="0" xfId="0" applyFont="1" applyFill="1"/>
    <xf numFmtId="0" fontId="16" fillId="0" borderId="0" xfId="0" applyFont="1"/>
  </cellXfs>
  <cellStyles count="3">
    <cellStyle name="Moneda" xfId="1" builtinId="4"/>
    <cellStyle name="Normal" xfId="0" builtinId="0"/>
    <cellStyle name="Porcentaje" xfId="2" builtinId="5"/>
  </cellStyles>
  <dxfs count="7">
    <dxf>
      <font>
        <b/>
        <i val="0"/>
      </font>
      <fill>
        <patternFill>
          <bgColor rgb="FFFB6D8F"/>
        </patternFill>
      </fill>
      <border>
        <top style="thin">
          <color rgb="FFF85688"/>
        </top>
        <bottom style="thin">
          <color rgb="FFF85688"/>
        </bottom>
        <vertical/>
        <horizontal/>
      </border>
    </dxf>
    <dxf>
      <font>
        <b/>
        <i val="0"/>
      </font>
      <fill>
        <patternFill>
          <bgColor rgb="FFFF6699"/>
        </patternFill>
      </fill>
      <border>
        <top style="thin">
          <color rgb="FFFF3399"/>
        </top>
        <bottom style="thin">
          <color rgb="FFFF3399"/>
        </bottom>
        <vertical/>
        <horizontal/>
      </border>
    </dxf>
    <dxf>
      <font>
        <b/>
        <i val="0"/>
        <color auto="1"/>
      </font>
      <fill>
        <patternFill patternType="solid">
          <bgColor rgb="FFFE729D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E98C6"/>
        </patternFill>
      </fill>
      <border>
        <top style="thin">
          <color rgb="FFFF3399"/>
        </top>
        <bottom style="thin">
          <color rgb="FFFF3399"/>
        </bottom>
        <vertical/>
        <horizontal/>
      </border>
    </dxf>
    <dxf>
      <font>
        <b/>
        <i val="0"/>
      </font>
      <fill>
        <patternFill>
          <bgColor rgb="FFF85688"/>
        </patternFill>
      </fill>
      <border>
        <top style="thin">
          <color rgb="FFF51766"/>
        </top>
        <bottom style="thin">
          <color rgb="FFF5176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/m/yyyy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51766"/>
      <color rgb="FFFB6D8F"/>
      <color rgb="FFF91B6A"/>
      <color rgb="FFFF3399"/>
      <color rgb="FFFE98C6"/>
      <color rgb="FFF85688"/>
      <color rgb="FFFF6699"/>
      <color rgb="FFFFC5D7"/>
      <color rgb="FFFE729D"/>
      <color rgb="FFFE00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#,##0;\-&quot;$&quot;#,##0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Tablero!$K$16:$K$17</c:f>
              <c:strCache>
                <c:ptCount val="2"/>
                <c:pt idx="0">
                  <c:v>membresías</c:v>
                </c:pt>
                <c:pt idx="1">
                  <c:v>Ser. Públicos</c:v>
                </c:pt>
              </c:strCache>
            </c:strRef>
          </c:cat>
          <c:val>
            <c:numRef>
              <c:f>Tablero!$L$16:$L$17</c:f>
              <c:numCache>
                <c:formatCode>General</c:formatCode>
                <c:ptCount val="2"/>
                <c:pt idx="0">
                  <c:v>2000</c:v>
                </c:pt>
                <c:pt idx="1">
                  <c:v>218.5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D-47AB-9647-E77FF479D2A6}"/>
            </c:ext>
          </c:extLst>
        </c:ser>
        <c:ser>
          <c:idx val="1"/>
          <c:order val="1"/>
          <c:spPr>
            <a:solidFill>
              <a:srgbClr val="F91B6A"/>
            </a:solidFill>
            <a:ln>
              <a:noFill/>
            </a:ln>
            <a:effectLst/>
          </c:spPr>
          <c:invertIfNegative val="0"/>
          <c:dLbls>
            <c:numFmt formatCode="&quot;$&quot;#,##0;\-&quot;$&quot;#,##0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Tablero!$K$16:$K$17</c:f>
              <c:strCache>
                <c:ptCount val="2"/>
                <c:pt idx="0">
                  <c:v>membresías</c:v>
                </c:pt>
                <c:pt idx="1">
                  <c:v>Ser. Públicos</c:v>
                </c:pt>
              </c:strCache>
            </c:strRef>
          </c:cat>
          <c:val>
            <c:numRef>
              <c:f>Tablero!$M$16:$M$17</c:f>
              <c:numCache>
                <c:formatCode>General</c:formatCode>
                <c:ptCount val="2"/>
                <c:pt idx="0">
                  <c:v>40</c:v>
                </c:pt>
                <c:pt idx="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2D-47AB-9647-E77FF479D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25"/>
        <c:axId val="2039161056"/>
        <c:axId val="2039161536"/>
      </c:barChart>
      <c:catAx>
        <c:axId val="203916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39161536"/>
        <c:crosses val="autoZero"/>
        <c:auto val="1"/>
        <c:lblAlgn val="ctr"/>
        <c:lblOffset val="100"/>
        <c:noMultiLvlLbl val="0"/>
      </c:catAx>
      <c:valAx>
        <c:axId val="2039161536"/>
        <c:scaling>
          <c:orientation val="minMax"/>
        </c:scaling>
        <c:delete val="0"/>
        <c:axPos val="l"/>
        <c:numFmt formatCode="&quot;$&quot;#,##0;\-&quot;$&quot;#,##0;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3916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558522506441715E-2"/>
          <c:y val="5.9071690706209039E-2"/>
          <c:w val="0.89262855854169965"/>
          <c:h val="0.7458375721202883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#,##0;\-&quot;$&quot;#,##0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Tablero!$K$3:$K$5</c:f>
              <c:strCache>
                <c:ptCount val="3"/>
                <c:pt idx="0">
                  <c:v>Ing. x asesoría</c:v>
                </c:pt>
                <c:pt idx="1">
                  <c:v>Ing. x inversión</c:v>
                </c:pt>
                <c:pt idx="2">
                  <c:v>Ing.x salario</c:v>
                </c:pt>
              </c:strCache>
            </c:strRef>
          </c:cat>
          <c:val>
            <c:numRef>
              <c:f>Tablero!$L$3:$L$5</c:f>
              <c:numCache>
                <c:formatCode>General</c:formatCode>
                <c:ptCount val="3"/>
                <c:pt idx="0">
                  <c:v>0</c:v>
                </c:pt>
                <c:pt idx="1">
                  <c:v>700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A-477E-B5CA-B9B829560129}"/>
            </c:ext>
          </c:extLst>
        </c:ser>
        <c:ser>
          <c:idx val="1"/>
          <c:order val="1"/>
          <c:spPr>
            <a:solidFill>
              <a:srgbClr val="FB6D8F"/>
            </a:solidFill>
            <a:ln>
              <a:noFill/>
            </a:ln>
            <a:effectLst/>
          </c:spPr>
          <c:invertIfNegative val="0"/>
          <c:dLbls>
            <c:numFmt formatCode="&quot;$&quot;#,##0;\-&quot;$&quot;#,##0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Tablero!$K$3:$K$5</c:f>
              <c:strCache>
                <c:ptCount val="3"/>
                <c:pt idx="0">
                  <c:v>Ing. x asesoría</c:v>
                </c:pt>
                <c:pt idx="1">
                  <c:v>Ing. x inversión</c:v>
                </c:pt>
                <c:pt idx="2">
                  <c:v>Ing.x salario</c:v>
                </c:pt>
              </c:strCache>
            </c:strRef>
          </c:cat>
          <c:val>
            <c:numRef>
              <c:f>Tablero!$M$3:$M$5</c:f>
              <c:numCache>
                <c:formatCode>General</c:formatCode>
                <c:ptCount val="3"/>
                <c:pt idx="0">
                  <c:v>500</c:v>
                </c:pt>
                <c:pt idx="1">
                  <c:v>400</c:v>
                </c:pt>
                <c:pt idx="2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FA-477E-B5CA-B9B829560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25"/>
        <c:axId val="144461568"/>
        <c:axId val="144463488"/>
      </c:barChart>
      <c:catAx>
        <c:axId val="14446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4463488"/>
        <c:crosses val="autoZero"/>
        <c:auto val="1"/>
        <c:lblAlgn val="ctr"/>
        <c:lblOffset val="100"/>
        <c:noMultiLvlLbl val="0"/>
      </c:catAx>
      <c:valAx>
        <c:axId val="144463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446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F91B6A"/>
            </a:solidFill>
          </c:spPr>
          <c:dPt>
            <c:idx val="0"/>
            <c:bubble3D val="0"/>
            <c:spPr>
              <a:solidFill>
                <a:srgbClr val="FB6D8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60-4BC8-AF47-EFC17DE6FF43}"/>
              </c:ext>
            </c:extLst>
          </c:dPt>
          <c:dPt>
            <c:idx val="1"/>
            <c:bubble3D val="0"/>
            <c:spPr>
              <a:solidFill>
                <a:srgbClr val="F91B6A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Tablero!$R$4:$R$5</c:f>
              <c:strCache>
                <c:ptCount val="2"/>
                <c:pt idx="0">
                  <c:v>Egreso</c:v>
                </c:pt>
                <c:pt idx="1">
                  <c:v>Ahorrado</c:v>
                </c:pt>
              </c:strCache>
            </c:strRef>
          </c:cat>
          <c:val>
            <c:numRef>
              <c:f>Tablero!$S$4:$S$5</c:f>
              <c:numCache>
                <c:formatCode>_("$"* #,##0.00_);_("$"* \(#,##0.00\);_("$"* "-"??_);_(@_)</c:formatCode>
                <c:ptCount val="2"/>
                <c:pt idx="0">
                  <c:v>89</c:v>
                </c:pt>
                <c:pt idx="1">
                  <c:v>1611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0-4BC8-AF47-EFC17DE6F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0" Type="http://schemas.openxmlformats.org/officeDocument/2006/relationships/chart" Target="../charts/chart2.xml"/><Relationship Id="rId4" Type="http://schemas.openxmlformats.org/officeDocument/2006/relationships/image" Target="../media/image4.svg"/><Relationship Id="rId9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152400</xdr:rowOff>
    </xdr:from>
    <xdr:to>
      <xdr:col>20</xdr:col>
      <xdr:colOff>66675</xdr:colOff>
      <xdr:row>12</xdr:row>
      <xdr:rowOff>9525</xdr:rowOff>
    </xdr:to>
    <xdr:sp macro="" textlink="">
      <xdr:nvSpPr>
        <xdr:cNvPr id="49" name="Rectángulo: esquinas redondeadas 48">
          <a:extLst>
            <a:ext uri="{FF2B5EF4-FFF2-40B4-BE49-F238E27FC236}">
              <a16:creationId xmlns:a16="http://schemas.microsoft.com/office/drawing/2014/main" id="{6C6A8A01-C76E-4B1F-825E-3763845BEBDE}"/>
            </a:ext>
          </a:extLst>
        </xdr:cNvPr>
        <xdr:cNvSpPr/>
      </xdr:nvSpPr>
      <xdr:spPr>
        <a:xfrm>
          <a:off x="10687050" y="342900"/>
          <a:ext cx="2847975" cy="1971675"/>
        </a:xfrm>
        <a:prstGeom prst="roundRect">
          <a:avLst>
            <a:gd name="adj" fmla="val 5826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166416</xdr:colOff>
      <xdr:row>1</xdr:row>
      <xdr:rowOff>162823</xdr:rowOff>
    </xdr:from>
    <xdr:to>
      <xdr:col>16</xdr:col>
      <xdr:colOff>66675</xdr:colOff>
      <xdr:row>12</xdr:row>
      <xdr:rowOff>19050</xdr:rowOff>
    </xdr:to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id="{0DF0CC55-E0DA-429C-8ACD-4796E5183BFF}"/>
            </a:ext>
          </a:extLst>
        </xdr:cNvPr>
        <xdr:cNvSpPr/>
      </xdr:nvSpPr>
      <xdr:spPr>
        <a:xfrm>
          <a:off x="5224191" y="353323"/>
          <a:ext cx="5262834" cy="1970777"/>
        </a:xfrm>
        <a:prstGeom prst="roundRect">
          <a:avLst>
            <a:gd name="adj" fmla="val 5826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9</xdr:col>
      <xdr:colOff>233629</xdr:colOff>
      <xdr:row>13</xdr:row>
      <xdr:rowOff>53915</xdr:rowOff>
    </xdr:from>
    <xdr:to>
      <xdr:col>20</xdr:col>
      <xdr:colOff>66674</xdr:colOff>
      <xdr:row>27</xdr:row>
      <xdr:rowOff>71887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E961AEDC-E1D8-3D25-CE8F-D2D812ECB8D6}"/>
            </a:ext>
          </a:extLst>
        </xdr:cNvPr>
        <xdr:cNvSpPr/>
      </xdr:nvSpPr>
      <xdr:spPr>
        <a:xfrm>
          <a:off x="5472379" y="2549465"/>
          <a:ext cx="8062645" cy="2704022"/>
        </a:xfrm>
        <a:prstGeom prst="roundRect">
          <a:avLst>
            <a:gd name="adj" fmla="val 5826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19050</xdr:colOff>
      <xdr:row>4</xdr:row>
      <xdr:rowOff>9524</xdr:rowOff>
    </xdr:from>
    <xdr:to>
      <xdr:col>3</xdr:col>
      <xdr:colOff>0</xdr:colOff>
      <xdr:row>26</xdr:row>
      <xdr:rowOff>161925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3E4A54F8-5807-B070-165B-6E05C872956B}"/>
            </a:ext>
          </a:extLst>
        </xdr:cNvPr>
        <xdr:cNvSpPr/>
      </xdr:nvSpPr>
      <xdr:spPr>
        <a:xfrm>
          <a:off x="200025" y="771524"/>
          <a:ext cx="1504950" cy="4343401"/>
        </a:xfrm>
        <a:prstGeom prst="roundRect">
          <a:avLst>
            <a:gd name="adj" fmla="val 4488"/>
          </a:avLst>
        </a:prstGeom>
        <a:solidFill>
          <a:srgbClr val="F91B6A"/>
        </a:solidFill>
        <a:ln w="6350">
          <a:solidFill>
            <a:srgbClr val="FE003C"/>
          </a:solidFill>
        </a:ln>
        <a:effectLst>
          <a:outerShdw blurRad="50800" dist="63500" dir="2700000" algn="tl" rotWithShape="0">
            <a:schemeClr val="bg2">
              <a:lumMod val="75000"/>
              <a:alpha val="65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19050</xdr:colOff>
      <xdr:row>4</xdr:row>
      <xdr:rowOff>19050</xdr:rowOff>
    </xdr:from>
    <xdr:to>
      <xdr:col>3</xdr:col>
      <xdr:colOff>0</xdr:colOff>
      <xdr:row>26</xdr:row>
      <xdr:rowOff>171451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2469DC2A-9AA7-41D7-9737-AB1DC9134ABC}"/>
            </a:ext>
          </a:extLst>
        </xdr:cNvPr>
        <xdr:cNvSpPr/>
      </xdr:nvSpPr>
      <xdr:spPr>
        <a:xfrm>
          <a:off x="200025" y="781050"/>
          <a:ext cx="1504950" cy="4343401"/>
        </a:xfrm>
        <a:prstGeom prst="roundRect">
          <a:avLst>
            <a:gd name="adj" fmla="val 4488"/>
          </a:avLst>
        </a:prstGeom>
        <a:solidFill>
          <a:schemeClr val="bg1">
            <a:alpha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65182</xdr:colOff>
      <xdr:row>4</xdr:row>
      <xdr:rowOff>104063</xdr:rowOff>
    </xdr:from>
    <xdr:to>
      <xdr:col>2</xdr:col>
      <xdr:colOff>710867</xdr:colOff>
      <xdr:row>8</xdr:row>
      <xdr:rowOff>134061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44E339CB-93C5-DACE-33C9-A81F79422246}"/>
            </a:ext>
          </a:extLst>
        </xdr:cNvPr>
        <xdr:cNvGrpSpPr/>
      </xdr:nvGrpSpPr>
      <xdr:grpSpPr>
        <a:xfrm>
          <a:off x="246157" y="885113"/>
          <a:ext cx="1407685" cy="791998"/>
          <a:chOff x="246049" y="874625"/>
          <a:chExt cx="1405545" cy="800560"/>
        </a:xfrm>
      </xdr:grpSpPr>
      <xdr:sp macro="" textlink="">
        <xdr:nvSpPr>
          <xdr:cNvPr id="5" name="Rectángulo: esquinas redondeadas 4">
            <a:extLst>
              <a:ext uri="{FF2B5EF4-FFF2-40B4-BE49-F238E27FC236}">
                <a16:creationId xmlns:a16="http://schemas.microsoft.com/office/drawing/2014/main" id="{6C0C3154-D664-7993-EA09-189177727CB9}"/>
              </a:ext>
            </a:extLst>
          </xdr:cNvPr>
          <xdr:cNvSpPr/>
        </xdr:nvSpPr>
        <xdr:spPr>
          <a:xfrm>
            <a:off x="247902" y="880466"/>
            <a:ext cx="1403692" cy="756825"/>
          </a:xfrm>
          <a:prstGeom prst="roundRect">
            <a:avLst>
              <a:gd name="adj" fmla="val 8667"/>
            </a:avLst>
          </a:prstGeom>
          <a:solidFill>
            <a:srgbClr val="F91B6A"/>
          </a:solidFill>
          <a:ln w="9525">
            <a:solidFill>
              <a:schemeClr val="bg1">
                <a:alpha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sp macro="" textlink="Fórmulas!A3">
        <xdr:nvSpPr>
          <xdr:cNvPr id="6" name="CuadroTexto 5">
            <a:extLst>
              <a:ext uri="{FF2B5EF4-FFF2-40B4-BE49-F238E27FC236}">
                <a16:creationId xmlns:a16="http://schemas.microsoft.com/office/drawing/2014/main" id="{36E1BF99-F917-2899-DCC3-CF07A057C1CF}"/>
              </a:ext>
            </a:extLst>
          </xdr:cNvPr>
          <xdr:cNvSpPr txBox="1"/>
        </xdr:nvSpPr>
        <xdr:spPr>
          <a:xfrm>
            <a:off x="247902" y="874625"/>
            <a:ext cx="1328029" cy="40028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fld id="{746A8B9B-C367-4E7E-901A-6003AC00BD19}" type="TxLink">
              <a:rPr lang="en-US" sz="1500" b="1" i="0" u="none" strike="noStrike">
                <a:solidFill>
                  <a:schemeClr val="bg1"/>
                </a:solidFill>
                <a:latin typeface="Aptos Narrow"/>
              </a:rPr>
              <a:pPr/>
              <a:t>BBVA</a:t>
            </a:fld>
            <a:endParaRPr lang="es-AR" sz="1500" b="1">
              <a:solidFill>
                <a:schemeClr val="bg1"/>
              </a:solidFill>
            </a:endParaRPr>
          </a:p>
        </xdr:txBody>
      </xdr:sp>
      <xdr:cxnSp macro="">
        <xdr:nvCxnSpPr>
          <xdr:cNvPr id="10" name="Conector recto 9">
            <a:extLst>
              <a:ext uri="{FF2B5EF4-FFF2-40B4-BE49-F238E27FC236}">
                <a16:creationId xmlns:a16="http://schemas.microsoft.com/office/drawing/2014/main" id="{94E3F6A3-6AC5-C8D2-7D12-09B354D19343}"/>
              </a:ext>
            </a:extLst>
          </xdr:cNvPr>
          <xdr:cNvCxnSpPr/>
        </xdr:nvCxnSpPr>
        <xdr:spPr>
          <a:xfrm flipV="1">
            <a:off x="310159" y="1261168"/>
            <a:ext cx="1277324" cy="4579"/>
          </a:xfrm>
          <a:prstGeom prst="line">
            <a:avLst/>
          </a:prstGeom>
          <a:ln>
            <a:solidFill>
              <a:schemeClr val="bg1">
                <a:alpha val="3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Fórmulas!B3">
        <xdr:nvSpPr>
          <xdr:cNvPr id="14" name="CuadroTexto 13">
            <a:extLst>
              <a:ext uri="{FF2B5EF4-FFF2-40B4-BE49-F238E27FC236}">
                <a16:creationId xmlns:a16="http://schemas.microsoft.com/office/drawing/2014/main" id="{2018E545-7E3D-41BA-8533-32892A5B0263}"/>
              </a:ext>
            </a:extLst>
          </xdr:cNvPr>
          <xdr:cNvSpPr txBox="1"/>
        </xdr:nvSpPr>
        <xdr:spPr>
          <a:xfrm>
            <a:off x="246049" y="1274905"/>
            <a:ext cx="1328029" cy="4002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/>
            <a:fld id="{ABD26F07-AAE9-4EEF-B732-F1406268D3EF}" type="TxLink">
              <a:rPr lang="en-US" sz="1500" b="1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pPr marL="0" indent="0"/>
              <a:t> $ 2.133,00 </a:t>
            </a:fld>
            <a:endParaRPr lang="es-AR" sz="15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65970</xdr:colOff>
      <xdr:row>9</xdr:row>
      <xdr:rowOff>20665</xdr:rowOff>
    </xdr:from>
    <xdr:to>
      <xdr:col>2</xdr:col>
      <xdr:colOff>711937</xdr:colOff>
      <xdr:row>13</xdr:row>
      <xdr:rowOff>7396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C42B3937-A1C5-2706-1003-C82C04CEE786}"/>
            </a:ext>
          </a:extLst>
        </xdr:cNvPr>
        <xdr:cNvSpPr/>
      </xdr:nvSpPr>
      <xdr:spPr>
        <a:xfrm>
          <a:off x="246945" y="1735165"/>
          <a:ext cx="1407967" cy="748731"/>
        </a:xfrm>
        <a:prstGeom prst="roundRect">
          <a:avLst>
            <a:gd name="adj" fmla="val 8667"/>
          </a:avLst>
        </a:prstGeom>
        <a:solidFill>
          <a:srgbClr val="F91B6A"/>
        </a:solidFill>
        <a:ln w="9525">
          <a:solidFill>
            <a:schemeClr val="bg1">
              <a:alpha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65970</xdr:colOff>
      <xdr:row>9</xdr:row>
      <xdr:rowOff>14886</xdr:rowOff>
    </xdr:from>
    <xdr:to>
      <xdr:col>2</xdr:col>
      <xdr:colOff>363082</xdr:colOff>
      <xdr:row>11</xdr:row>
      <xdr:rowOff>29886</xdr:rowOff>
    </xdr:to>
    <xdr:sp macro="" textlink="Fórmulas!A4">
      <xdr:nvSpPr>
        <xdr:cNvPr id="18" name="CuadroTexto 17">
          <a:extLst>
            <a:ext uri="{FF2B5EF4-FFF2-40B4-BE49-F238E27FC236}">
              <a16:creationId xmlns:a16="http://schemas.microsoft.com/office/drawing/2014/main" id="{BA6E6D10-F93C-69BE-7934-59FAEC44605F}"/>
            </a:ext>
          </a:extLst>
        </xdr:cNvPr>
        <xdr:cNvSpPr txBox="1"/>
      </xdr:nvSpPr>
      <xdr:spPr>
        <a:xfrm>
          <a:off x="245153" y="1712411"/>
          <a:ext cx="1060998" cy="3922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666096F9-F570-4FFE-898C-F1EA295DABC0}" type="TxLink">
            <a:rPr lang="en-US" sz="9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Depósito &amp; inversión</a:t>
          </a:fld>
          <a:endParaRPr lang="es-AR" sz="9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128416</xdr:colOff>
      <xdr:row>11</xdr:row>
      <xdr:rowOff>16295</xdr:rowOff>
    </xdr:from>
    <xdr:to>
      <xdr:col>2</xdr:col>
      <xdr:colOff>647630</xdr:colOff>
      <xdr:row>11</xdr:row>
      <xdr:rowOff>20825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F4587070-3D24-C3C7-CFC9-F7994EC88398}"/>
            </a:ext>
          </a:extLst>
        </xdr:cNvPr>
        <xdr:cNvCxnSpPr/>
      </xdr:nvCxnSpPr>
      <xdr:spPr>
        <a:xfrm flipV="1">
          <a:off x="309391" y="2111795"/>
          <a:ext cx="1281214" cy="4530"/>
        </a:xfrm>
        <a:prstGeom prst="line">
          <a:avLst/>
        </a:prstGeom>
        <a:ln>
          <a:solidFill>
            <a:schemeClr val="bg1">
              <a:alpha val="3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64111</xdr:colOff>
      <xdr:row>11</xdr:row>
      <xdr:rowOff>29885</xdr:rowOff>
    </xdr:from>
    <xdr:to>
      <xdr:col>2</xdr:col>
      <xdr:colOff>634185</xdr:colOff>
      <xdr:row>13</xdr:row>
      <xdr:rowOff>44884</xdr:rowOff>
    </xdr:to>
    <xdr:sp macro="" textlink="Fórmulas!B4">
      <xdr:nvSpPr>
        <xdr:cNvPr id="21" name="CuadroTexto 20">
          <a:extLst>
            <a:ext uri="{FF2B5EF4-FFF2-40B4-BE49-F238E27FC236}">
              <a16:creationId xmlns:a16="http://schemas.microsoft.com/office/drawing/2014/main" id="{2FA74197-0681-6C4F-BB1A-F415A5CD4139}"/>
            </a:ext>
          </a:extLst>
        </xdr:cNvPr>
        <xdr:cNvSpPr txBox="1"/>
      </xdr:nvSpPr>
      <xdr:spPr>
        <a:xfrm>
          <a:off x="245086" y="2125385"/>
          <a:ext cx="1332074" cy="395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2036CB2C-15A7-496A-922D-F2AD12F86053}" type="TxLink">
            <a:rPr lang="en-US" sz="15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-$ 2.400,00 </a:t>
          </a:fld>
          <a:endParaRPr lang="es-AR" sz="15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65970</xdr:colOff>
      <xdr:row>13</xdr:row>
      <xdr:rowOff>121988</xdr:rowOff>
    </xdr:from>
    <xdr:to>
      <xdr:col>2</xdr:col>
      <xdr:colOff>711937</xdr:colOff>
      <xdr:row>17</xdr:row>
      <xdr:rowOff>108720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BC61882D-3BA5-81A8-190D-63AF8AB22480}"/>
            </a:ext>
          </a:extLst>
        </xdr:cNvPr>
        <xdr:cNvSpPr/>
      </xdr:nvSpPr>
      <xdr:spPr>
        <a:xfrm>
          <a:off x="246945" y="2598488"/>
          <a:ext cx="1407967" cy="748732"/>
        </a:xfrm>
        <a:prstGeom prst="roundRect">
          <a:avLst>
            <a:gd name="adj" fmla="val 8667"/>
          </a:avLst>
        </a:prstGeom>
        <a:solidFill>
          <a:srgbClr val="F91B6A"/>
        </a:solidFill>
        <a:ln w="9525">
          <a:solidFill>
            <a:schemeClr val="bg1">
              <a:alpha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65970</xdr:colOff>
      <xdr:row>13</xdr:row>
      <xdr:rowOff>116209</xdr:rowOff>
    </xdr:from>
    <xdr:to>
      <xdr:col>2</xdr:col>
      <xdr:colOff>636044</xdr:colOff>
      <xdr:row>15</xdr:row>
      <xdr:rowOff>131209</xdr:rowOff>
    </xdr:to>
    <xdr:sp macro="" textlink="Fórmulas!A5">
      <xdr:nvSpPr>
        <xdr:cNvPr id="24" name="CuadroTexto 23">
          <a:extLst>
            <a:ext uri="{FF2B5EF4-FFF2-40B4-BE49-F238E27FC236}">
              <a16:creationId xmlns:a16="http://schemas.microsoft.com/office/drawing/2014/main" id="{06F08ECA-5119-EC82-8724-30F642697C7D}"/>
            </a:ext>
          </a:extLst>
        </xdr:cNvPr>
        <xdr:cNvSpPr txBox="1"/>
      </xdr:nvSpPr>
      <xdr:spPr>
        <a:xfrm>
          <a:off x="246945" y="2592709"/>
          <a:ext cx="1332074" cy="39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9E3127C2-C94D-4D7E-9E58-2B9BAAB0D051}" type="TxLink">
            <a:rPr lang="en-US" sz="15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Efectivo</a:t>
          </a:fld>
          <a:endParaRPr lang="es-AR" sz="15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128416</xdr:colOff>
      <xdr:row>15</xdr:row>
      <xdr:rowOff>117618</xdr:rowOff>
    </xdr:from>
    <xdr:to>
      <xdr:col>2</xdr:col>
      <xdr:colOff>647630</xdr:colOff>
      <xdr:row>15</xdr:row>
      <xdr:rowOff>122148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E8EBC8BA-37F6-66E3-89FD-248C5811B10B}"/>
            </a:ext>
          </a:extLst>
        </xdr:cNvPr>
        <xdr:cNvCxnSpPr/>
      </xdr:nvCxnSpPr>
      <xdr:spPr>
        <a:xfrm flipV="1">
          <a:off x="309391" y="2975118"/>
          <a:ext cx="1281214" cy="4530"/>
        </a:xfrm>
        <a:prstGeom prst="line">
          <a:avLst/>
        </a:prstGeom>
        <a:ln>
          <a:solidFill>
            <a:schemeClr val="bg1">
              <a:alpha val="3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64111</xdr:colOff>
      <xdr:row>15</xdr:row>
      <xdr:rowOff>131209</xdr:rowOff>
    </xdr:from>
    <xdr:to>
      <xdr:col>2</xdr:col>
      <xdr:colOff>634185</xdr:colOff>
      <xdr:row>17</xdr:row>
      <xdr:rowOff>146209</xdr:rowOff>
    </xdr:to>
    <xdr:sp macro="" textlink="Fórmulas!B5">
      <xdr:nvSpPr>
        <xdr:cNvPr id="27" name="CuadroTexto 26">
          <a:extLst>
            <a:ext uri="{FF2B5EF4-FFF2-40B4-BE49-F238E27FC236}">
              <a16:creationId xmlns:a16="http://schemas.microsoft.com/office/drawing/2014/main" id="{65D0AAC7-B1CF-EB98-D606-F105E0E13B88}"/>
            </a:ext>
          </a:extLst>
        </xdr:cNvPr>
        <xdr:cNvSpPr txBox="1"/>
      </xdr:nvSpPr>
      <xdr:spPr>
        <a:xfrm>
          <a:off x="245086" y="2988709"/>
          <a:ext cx="1332074" cy="39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BB911B8D-26D6-4566-A360-D4E1DD2366CD}" type="TxLink">
            <a:rPr lang="en-US" sz="15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-$ 1.235,00 </a:t>
          </a:fld>
          <a:endParaRPr lang="es-AR" sz="15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65970</xdr:colOff>
      <xdr:row>18</xdr:row>
      <xdr:rowOff>32796</xdr:rowOff>
    </xdr:from>
    <xdr:to>
      <xdr:col>2</xdr:col>
      <xdr:colOff>711937</xdr:colOff>
      <xdr:row>22</xdr:row>
      <xdr:rowOff>17504</xdr:rowOff>
    </xdr:to>
    <xdr:sp macro="" textlink="">
      <xdr:nvSpPr>
        <xdr:cNvPr id="29" name="Rectángulo: esquinas redondeadas 28">
          <a:extLst>
            <a:ext uri="{FF2B5EF4-FFF2-40B4-BE49-F238E27FC236}">
              <a16:creationId xmlns:a16="http://schemas.microsoft.com/office/drawing/2014/main" id="{3461E7BC-1E1D-2392-E6BF-9FE931FBD48D}"/>
            </a:ext>
          </a:extLst>
        </xdr:cNvPr>
        <xdr:cNvSpPr/>
      </xdr:nvSpPr>
      <xdr:spPr>
        <a:xfrm>
          <a:off x="246945" y="3461796"/>
          <a:ext cx="1407967" cy="746708"/>
        </a:xfrm>
        <a:prstGeom prst="roundRect">
          <a:avLst>
            <a:gd name="adj" fmla="val 8667"/>
          </a:avLst>
        </a:prstGeom>
        <a:solidFill>
          <a:srgbClr val="F91B6A"/>
        </a:solidFill>
        <a:ln w="9525">
          <a:solidFill>
            <a:schemeClr val="bg1">
              <a:alpha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65970</xdr:colOff>
      <xdr:row>18</xdr:row>
      <xdr:rowOff>27033</xdr:rowOff>
    </xdr:from>
    <xdr:to>
      <xdr:col>2</xdr:col>
      <xdr:colOff>636044</xdr:colOff>
      <xdr:row>20</xdr:row>
      <xdr:rowOff>40963</xdr:rowOff>
    </xdr:to>
    <xdr:sp macro="" textlink="Fórmulas!A6">
      <xdr:nvSpPr>
        <xdr:cNvPr id="30" name="CuadroTexto 29">
          <a:extLst>
            <a:ext uri="{FF2B5EF4-FFF2-40B4-BE49-F238E27FC236}">
              <a16:creationId xmlns:a16="http://schemas.microsoft.com/office/drawing/2014/main" id="{1D70F2EC-E40A-FA61-B93B-6ABA3AC02669}"/>
            </a:ext>
          </a:extLst>
        </xdr:cNvPr>
        <xdr:cNvSpPr txBox="1"/>
      </xdr:nvSpPr>
      <xdr:spPr>
        <a:xfrm>
          <a:off x="245153" y="3422083"/>
          <a:ext cx="1333960" cy="3911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19599448-0F3A-4A0D-B46A-687D5A57F0C3}" type="TxLink">
            <a:rPr lang="en-US" sz="15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Santander</a:t>
          </a:fld>
          <a:endParaRPr lang="es-AR" sz="15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128416</xdr:colOff>
      <xdr:row>20</xdr:row>
      <xdr:rowOff>27409</xdr:rowOff>
    </xdr:from>
    <xdr:to>
      <xdr:col>2</xdr:col>
      <xdr:colOff>647630</xdr:colOff>
      <xdr:row>20</xdr:row>
      <xdr:rowOff>31927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AA087F1E-884E-03A9-AA26-262D157CAA3D}"/>
            </a:ext>
          </a:extLst>
        </xdr:cNvPr>
        <xdr:cNvCxnSpPr/>
      </xdr:nvCxnSpPr>
      <xdr:spPr>
        <a:xfrm flipV="1">
          <a:off x="309391" y="3837409"/>
          <a:ext cx="1281214" cy="4518"/>
        </a:xfrm>
        <a:prstGeom prst="line">
          <a:avLst/>
        </a:prstGeom>
        <a:ln>
          <a:solidFill>
            <a:schemeClr val="bg1">
              <a:alpha val="3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64111</xdr:colOff>
      <xdr:row>20</xdr:row>
      <xdr:rowOff>40962</xdr:rowOff>
    </xdr:from>
    <xdr:to>
      <xdr:col>2</xdr:col>
      <xdr:colOff>634185</xdr:colOff>
      <xdr:row>22</xdr:row>
      <xdr:rowOff>54891</xdr:rowOff>
    </xdr:to>
    <xdr:sp macro="" textlink="Fórmulas!B6">
      <xdr:nvSpPr>
        <xdr:cNvPr id="33" name="CuadroTexto 32">
          <a:extLst>
            <a:ext uri="{FF2B5EF4-FFF2-40B4-BE49-F238E27FC236}">
              <a16:creationId xmlns:a16="http://schemas.microsoft.com/office/drawing/2014/main" id="{A9D24300-651A-155E-4286-1C470C408357}"/>
            </a:ext>
          </a:extLst>
        </xdr:cNvPr>
        <xdr:cNvSpPr txBox="1"/>
      </xdr:nvSpPr>
      <xdr:spPr>
        <a:xfrm>
          <a:off x="245086" y="3850962"/>
          <a:ext cx="1332074" cy="39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7F588445-D01A-46BA-8EC5-F5BB6300303F}" type="TxLink">
            <a:rPr lang="en-US" sz="15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 $ 1.300,20 </a:t>
          </a:fld>
          <a:endParaRPr lang="es-AR" sz="15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65970</xdr:colOff>
      <xdr:row>22</xdr:row>
      <xdr:rowOff>131996</xdr:rowOff>
    </xdr:from>
    <xdr:to>
      <xdr:col>2</xdr:col>
      <xdr:colOff>711937</xdr:colOff>
      <xdr:row>26</xdr:row>
      <xdr:rowOff>118727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D6DEA0F4-34F3-1906-1A4E-23125B6352C3}"/>
            </a:ext>
          </a:extLst>
        </xdr:cNvPr>
        <xdr:cNvSpPr/>
      </xdr:nvSpPr>
      <xdr:spPr>
        <a:xfrm>
          <a:off x="246945" y="4322996"/>
          <a:ext cx="1407967" cy="748731"/>
        </a:xfrm>
        <a:prstGeom prst="roundRect">
          <a:avLst>
            <a:gd name="adj" fmla="val 8667"/>
          </a:avLst>
        </a:prstGeom>
        <a:solidFill>
          <a:srgbClr val="FE003C"/>
        </a:solidFill>
        <a:ln w="9525">
          <a:solidFill>
            <a:schemeClr val="bg1">
              <a:alpha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65970</xdr:colOff>
      <xdr:row>22</xdr:row>
      <xdr:rowOff>126217</xdr:rowOff>
    </xdr:from>
    <xdr:to>
      <xdr:col>2</xdr:col>
      <xdr:colOff>636044</xdr:colOff>
      <xdr:row>24</xdr:row>
      <xdr:rowOff>141217</xdr:rowOff>
    </xdr:to>
    <xdr:sp macro="" textlink="Fórmulas!A7">
      <xdr:nvSpPr>
        <xdr:cNvPr id="36" name="CuadroTexto 35">
          <a:extLst>
            <a:ext uri="{FF2B5EF4-FFF2-40B4-BE49-F238E27FC236}">
              <a16:creationId xmlns:a16="http://schemas.microsoft.com/office/drawing/2014/main" id="{744E8DA4-1356-03BA-81EC-BFD8004ABFCE}"/>
            </a:ext>
          </a:extLst>
        </xdr:cNvPr>
        <xdr:cNvSpPr txBox="1"/>
      </xdr:nvSpPr>
      <xdr:spPr>
        <a:xfrm>
          <a:off x="245153" y="4275722"/>
          <a:ext cx="1333960" cy="3922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102481CF-CC31-4767-82EB-E181EF57D75B}" type="TxLink">
            <a:rPr lang="en-US" sz="15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Total</a:t>
          </a:fld>
          <a:endParaRPr lang="es-AR" sz="15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128416</xdr:colOff>
      <xdr:row>24</xdr:row>
      <xdr:rowOff>127626</xdr:rowOff>
    </xdr:from>
    <xdr:to>
      <xdr:col>2</xdr:col>
      <xdr:colOff>647630</xdr:colOff>
      <xdr:row>24</xdr:row>
      <xdr:rowOff>132156</xdr:rowOff>
    </xdr:to>
    <xdr:cxnSp macro="">
      <xdr:nvCxnSpPr>
        <xdr:cNvPr id="38" name="Conector recto 37">
          <a:extLst>
            <a:ext uri="{FF2B5EF4-FFF2-40B4-BE49-F238E27FC236}">
              <a16:creationId xmlns:a16="http://schemas.microsoft.com/office/drawing/2014/main" id="{81DB8A86-E904-66CB-DE69-E8DF50EC73E3}"/>
            </a:ext>
          </a:extLst>
        </xdr:cNvPr>
        <xdr:cNvCxnSpPr/>
      </xdr:nvCxnSpPr>
      <xdr:spPr>
        <a:xfrm flipV="1">
          <a:off x="309391" y="4699626"/>
          <a:ext cx="1281214" cy="4530"/>
        </a:xfrm>
        <a:prstGeom prst="line">
          <a:avLst/>
        </a:prstGeom>
        <a:ln>
          <a:solidFill>
            <a:schemeClr val="bg1">
              <a:alpha val="3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64111</xdr:colOff>
      <xdr:row>24</xdr:row>
      <xdr:rowOff>141216</xdr:rowOff>
    </xdr:from>
    <xdr:to>
      <xdr:col>2</xdr:col>
      <xdr:colOff>634185</xdr:colOff>
      <xdr:row>26</xdr:row>
      <xdr:rowOff>156215</xdr:rowOff>
    </xdr:to>
    <xdr:sp macro="" textlink="Fórmulas!B7">
      <xdr:nvSpPr>
        <xdr:cNvPr id="39" name="CuadroTexto 38">
          <a:extLst>
            <a:ext uri="{FF2B5EF4-FFF2-40B4-BE49-F238E27FC236}">
              <a16:creationId xmlns:a16="http://schemas.microsoft.com/office/drawing/2014/main" id="{BFC62AA5-4F14-3FA8-AD16-4781D2F5053E}"/>
            </a:ext>
          </a:extLst>
        </xdr:cNvPr>
        <xdr:cNvSpPr txBox="1"/>
      </xdr:nvSpPr>
      <xdr:spPr>
        <a:xfrm>
          <a:off x="245086" y="4713216"/>
          <a:ext cx="1332074" cy="395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B9D3C106-FC76-4493-8B6D-5B7842E9B1ED}" type="TxLink">
            <a:rPr lang="en-US" sz="15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-201,8</a:t>
          </a:fld>
          <a:endParaRPr lang="es-AR" sz="15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297067</xdr:colOff>
      <xdr:row>13</xdr:row>
      <xdr:rowOff>150891</xdr:rowOff>
    </xdr:from>
    <xdr:to>
      <xdr:col>2</xdr:col>
      <xdr:colOff>622048</xdr:colOff>
      <xdr:row>15</xdr:row>
      <xdr:rowOff>89657</xdr:rowOff>
    </xdr:to>
    <xdr:pic>
      <xdr:nvPicPr>
        <xdr:cNvPr id="41" name="Gráfico 40" descr="Money con relleno sólido">
          <a:extLst>
            <a:ext uri="{FF2B5EF4-FFF2-40B4-BE49-F238E27FC236}">
              <a16:creationId xmlns:a16="http://schemas.microsoft.com/office/drawing/2014/main" id="{A07A469A-BBBF-9ED9-E376-A6510B15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40136" y="2602871"/>
          <a:ext cx="324981" cy="324981"/>
        </a:xfrm>
        <a:prstGeom prst="rect">
          <a:avLst/>
        </a:prstGeom>
      </xdr:spPr>
    </xdr:pic>
    <xdr:clientData/>
  </xdr:twoCellAnchor>
  <xdr:twoCellAnchor editAs="oneCell">
    <xdr:from>
      <xdr:col>2</xdr:col>
      <xdr:colOff>358368</xdr:colOff>
      <xdr:row>4</xdr:row>
      <xdr:rowOff>160324</xdr:rowOff>
    </xdr:from>
    <xdr:to>
      <xdr:col>2</xdr:col>
      <xdr:colOff>641287</xdr:colOff>
      <xdr:row>6</xdr:row>
      <xdr:rowOff>66015</xdr:rowOff>
    </xdr:to>
    <xdr:pic>
      <xdr:nvPicPr>
        <xdr:cNvPr id="43" name="Gráfico 42" descr="Bank con relleno sólido">
          <a:extLst>
            <a:ext uri="{FF2B5EF4-FFF2-40B4-BE49-F238E27FC236}">
              <a16:creationId xmlns:a16="http://schemas.microsoft.com/office/drawing/2014/main" id="{8DAC7876-9CAD-CB71-4343-F406F687E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01437" y="914779"/>
          <a:ext cx="282919" cy="282919"/>
        </a:xfrm>
        <a:prstGeom prst="rect">
          <a:avLst/>
        </a:prstGeom>
      </xdr:spPr>
    </xdr:pic>
    <xdr:clientData/>
  </xdr:twoCellAnchor>
  <xdr:twoCellAnchor editAs="oneCell">
    <xdr:from>
      <xdr:col>2</xdr:col>
      <xdr:colOff>334790</xdr:colOff>
      <xdr:row>9</xdr:row>
      <xdr:rowOff>47147</xdr:rowOff>
    </xdr:from>
    <xdr:to>
      <xdr:col>2</xdr:col>
      <xdr:colOff>641293</xdr:colOff>
      <xdr:row>10</xdr:row>
      <xdr:rowOff>165036</xdr:rowOff>
    </xdr:to>
    <xdr:pic>
      <xdr:nvPicPr>
        <xdr:cNvPr id="45" name="Gráfico 44" descr="Piggy Bank con relleno sólido">
          <a:extLst>
            <a:ext uri="{FF2B5EF4-FFF2-40B4-BE49-F238E27FC236}">
              <a16:creationId xmlns:a16="http://schemas.microsoft.com/office/drawing/2014/main" id="{8C96EFC0-5ACF-DDE3-2F40-ED6B4E9A2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277859" y="1744672"/>
          <a:ext cx="306503" cy="306503"/>
        </a:xfrm>
        <a:prstGeom prst="rect">
          <a:avLst/>
        </a:prstGeom>
      </xdr:spPr>
    </xdr:pic>
    <xdr:clientData/>
  </xdr:twoCellAnchor>
  <xdr:twoCellAnchor editAs="oneCell">
    <xdr:from>
      <xdr:col>2</xdr:col>
      <xdr:colOff>358367</xdr:colOff>
      <xdr:row>18</xdr:row>
      <xdr:rowOff>84876</xdr:rowOff>
    </xdr:from>
    <xdr:to>
      <xdr:col>2</xdr:col>
      <xdr:colOff>641286</xdr:colOff>
      <xdr:row>19</xdr:row>
      <xdr:rowOff>179182</xdr:rowOff>
    </xdr:to>
    <xdr:pic>
      <xdr:nvPicPr>
        <xdr:cNvPr id="46" name="Gráfico 45" descr="Bank con relleno sólido">
          <a:extLst>
            <a:ext uri="{FF2B5EF4-FFF2-40B4-BE49-F238E27FC236}">
              <a16:creationId xmlns:a16="http://schemas.microsoft.com/office/drawing/2014/main" id="{24CDB7EE-A29F-4ACC-A969-2E0C203C4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01436" y="3479926"/>
          <a:ext cx="282919" cy="282919"/>
        </a:xfrm>
        <a:prstGeom prst="rect">
          <a:avLst/>
        </a:prstGeom>
      </xdr:spPr>
    </xdr:pic>
    <xdr:clientData/>
  </xdr:twoCellAnchor>
  <xdr:twoCellAnchor editAs="oneCell">
    <xdr:from>
      <xdr:col>2</xdr:col>
      <xdr:colOff>296689</xdr:colOff>
      <xdr:row>22</xdr:row>
      <xdr:rowOff>155605</xdr:rowOff>
    </xdr:from>
    <xdr:to>
      <xdr:col>2</xdr:col>
      <xdr:colOff>636194</xdr:colOff>
      <xdr:row>24</xdr:row>
      <xdr:rowOff>117883</xdr:rowOff>
    </xdr:to>
    <xdr:pic>
      <xdr:nvPicPr>
        <xdr:cNvPr id="48" name="Gráfico 47" descr="Coins con relleno sólido">
          <a:extLst>
            <a:ext uri="{FF2B5EF4-FFF2-40B4-BE49-F238E27FC236}">
              <a16:creationId xmlns:a16="http://schemas.microsoft.com/office/drawing/2014/main" id="{0AA8FE26-A756-C94F-471F-6227C5A4B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239758" y="4305110"/>
          <a:ext cx="339505" cy="339505"/>
        </a:xfrm>
        <a:prstGeom prst="rect">
          <a:avLst/>
        </a:prstGeom>
      </xdr:spPr>
    </xdr:pic>
    <xdr:clientData/>
  </xdr:twoCellAnchor>
  <xdr:twoCellAnchor>
    <xdr:from>
      <xdr:col>9</xdr:col>
      <xdr:colOff>260590</xdr:colOff>
      <xdr:row>15</xdr:row>
      <xdr:rowOff>1</xdr:rowOff>
    </xdr:from>
    <xdr:to>
      <xdr:col>20</xdr:col>
      <xdr:colOff>28575</xdr:colOff>
      <xdr:row>27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73A0BCD-77F9-7EC4-786F-B093759DDC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709343</xdr:colOff>
      <xdr:row>13</xdr:row>
      <xdr:rowOff>152941</xdr:rowOff>
    </xdr:from>
    <xdr:to>
      <xdr:col>19</xdr:col>
      <xdr:colOff>749600</xdr:colOff>
      <xdr:row>16</xdr:row>
      <xdr:rowOff>35405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C1F91297-9B2B-4D56-2B1D-695F2EFA483F}"/>
            </a:ext>
          </a:extLst>
        </xdr:cNvPr>
        <xdr:cNvGrpSpPr/>
      </xdr:nvGrpSpPr>
      <xdr:grpSpPr>
        <a:xfrm>
          <a:off x="11891693" y="2658016"/>
          <a:ext cx="1564257" cy="473014"/>
          <a:chOff x="9053243" y="372016"/>
          <a:chExt cx="1564257" cy="473014"/>
        </a:xfrm>
      </xdr:grpSpPr>
      <xdr:sp macro="" textlink="Tablero!O16">
        <xdr:nvSpPr>
          <xdr:cNvPr id="8" name="CuadroTexto 7">
            <a:extLst>
              <a:ext uri="{FF2B5EF4-FFF2-40B4-BE49-F238E27FC236}">
                <a16:creationId xmlns:a16="http://schemas.microsoft.com/office/drawing/2014/main" id="{C7BE59E6-AC8C-D347-F9F5-211960D6B3C0}"/>
              </a:ext>
            </a:extLst>
          </xdr:cNvPr>
          <xdr:cNvSpPr txBox="1"/>
        </xdr:nvSpPr>
        <xdr:spPr>
          <a:xfrm>
            <a:off x="9053243" y="571860"/>
            <a:ext cx="1564257" cy="2731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fld id="{CCE2F4FE-70B0-4452-93A5-7CFCFE2B825E}" type="TxLink">
              <a:rPr lang="en-US" sz="1500" b="1" i="0" u="none" strike="noStrike">
                <a:solidFill>
                  <a:srgbClr val="F91B6A"/>
                </a:solidFill>
                <a:latin typeface="Aptos Narrow"/>
              </a:rPr>
              <a:pPr algn="r"/>
              <a:t> $ 89,00 </a:t>
            </a:fld>
            <a:endParaRPr lang="es-AR" sz="1500">
              <a:solidFill>
                <a:srgbClr val="F91B6A"/>
              </a:solidFill>
            </a:endParaRP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C0974316-7781-4EDF-9E37-D3B8A83342D4}"/>
              </a:ext>
            </a:extLst>
          </xdr:cNvPr>
          <xdr:cNvSpPr txBox="1"/>
        </xdr:nvSpPr>
        <xdr:spPr>
          <a:xfrm>
            <a:off x="9053243" y="372016"/>
            <a:ext cx="1564257" cy="2731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en-US" sz="1200" b="1" i="0" u="none" strike="noStrike">
                <a:solidFill>
                  <a:schemeClr val="bg2">
                    <a:lumMod val="50000"/>
                  </a:schemeClr>
                </a:solidFill>
                <a:latin typeface="Aptos Narrow"/>
              </a:rPr>
              <a:t>Total</a:t>
            </a:r>
            <a:r>
              <a:rPr lang="en-US" sz="1200" b="1" i="0" u="none" strike="noStrike" baseline="0">
                <a:solidFill>
                  <a:schemeClr val="bg2">
                    <a:lumMod val="50000"/>
                  </a:schemeClr>
                </a:solidFill>
                <a:latin typeface="Aptos Narrow"/>
              </a:rPr>
              <a:t> Egresos</a:t>
            </a:r>
            <a:endParaRPr lang="en-US" sz="1200" b="1" i="0" u="none" strike="noStrike">
              <a:solidFill>
                <a:schemeClr val="bg2">
                  <a:lumMod val="50000"/>
                </a:schemeClr>
              </a:solidFill>
              <a:latin typeface="Aptos Narrow"/>
            </a:endParaRPr>
          </a:p>
        </xdr:txBody>
      </xdr:sp>
    </xdr:grpSp>
    <xdr:clientData/>
  </xdr:twoCellAnchor>
  <xdr:twoCellAnchor>
    <xdr:from>
      <xdr:col>9</xdr:col>
      <xdr:colOff>238124</xdr:colOff>
      <xdr:row>13</xdr:row>
      <xdr:rowOff>66674</xdr:rowOff>
    </xdr:from>
    <xdr:to>
      <xdr:col>16</xdr:col>
      <xdr:colOff>361949</xdr:colOff>
      <xdr:row>15</xdr:row>
      <xdr:rowOff>9524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897AFF1C-A67F-4BC2-92A1-CA83D346BA72}"/>
            </a:ext>
          </a:extLst>
        </xdr:cNvPr>
        <xdr:cNvSpPr txBox="1"/>
      </xdr:nvSpPr>
      <xdr:spPr>
        <a:xfrm>
          <a:off x="5476874" y="2562224"/>
          <a:ext cx="530542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5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/>
            </a:rPr>
            <a:t> Clasificación</a:t>
          </a:r>
          <a:r>
            <a:rPr lang="en-US" sz="15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</a:rPr>
            <a:t> de los Egresos en el Período Seleccionado</a:t>
          </a:r>
          <a:r>
            <a:rPr lang="en-US" sz="15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/>
            </a:rPr>
            <a:t> </a:t>
          </a:r>
        </a:p>
      </xdr:txBody>
    </xdr:sp>
    <xdr:clientData/>
  </xdr:twoCellAnchor>
  <xdr:twoCellAnchor>
    <xdr:from>
      <xdr:col>9</xdr:col>
      <xdr:colOff>19050</xdr:colOff>
      <xdr:row>4</xdr:row>
      <xdr:rowOff>38099</xdr:rowOff>
    </xdr:from>
    <xdr:to>
      <xdr:col>16</xdr:col>
      <xdr:colOff>47625</xdr:colOff>
      <xdr:row>12</xdr:row>
      <xdr:rowOff>9525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55BBD1E9-2F43-197F-DB22-C28DA814A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171450</xdr:colOff>
      <xdr:row>1</xdr:row>
      <xdr:rowOff>180974</xdr:rowOff>
    </xdr:from>
    <xdr:to>
      <xdr:col>14</xdr:col>
      <xdr:colOff>114301</xdr:colOff>
      <xdr:row>3</xdr:row>
      <xdr:rowOff>123824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CCBCA52B-348E-4C07-B387-B5E5FA94B341}"/>
            </a:ext>
          </a:extLst>
        </xdr:cNvPr>
        <xdr:cNvSpPr txBox="1"/>
      </xdr:nvSpPr>
      <xdr:spPr>
        <a:xfrm>
          <a:off x="5229225" y="371474"/>
          <a:ext cx="3705226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5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</a:rPr>
            <a:t>Ingresos en el Período Seleccionado</a:t>
          </a:r>
          <a:r>
            <a:rPr lang="en-US" sz="15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/>
            </a:rPr>
            <a:t> </a:t>
          </a:r>
        </a:p>
      </xdr:txBody>
    </xdr:sp>
    <xdr:clientData/>
  </xdr:twoCellAnchor>
  <xdr:twoCellAnchor>
    <xdr:from>
      <xdr:col>14</xdr:col>
      <xdr:colOff>61643</xdr:colOff>
      <xdr:row>2</xdr:row>
      <xdr:rowOff>541</xdr:rowOff>
    </xdr:from>
    <xdr:to>
      <xdr:col>16</xdr:col>
      <xdr:colOff>25700</xdr:colOff>
      <xdr:row>4</xdr:row>
      <xdr:rowOff>92555</xdr:rowOff>
    </xdr:to>
    <xdr:grpSp>
      <xdr:nvGrpSpPr>
        <xdr:cNvPr id="31" name="Grupo 30">
          <a:extLst>
            <a:ext uri="{FF2B5EF4-FFF2-40B4-BE49-F238E27FC236}">
              <a16:creationId xmlns:a16="http://schemas.microsoft.com/office/drawing/2014/main" id="{5FAFD46A-7C47-497F-9214-A28EA2B4694A}"/>
            </a:ext>
          </a:extLst>
        </xdr:cNvPr>
        <xdr:cNvGrpSpPr/>
      </xdr:nvGrpSpPr>
      <xdr:grpSpPr>
        <a:xfrm>
          <a:off x="8881793" y="400591"/>
          <a:ext cx="1564257" cy="473014"/>
          <a:chOff x="9053243" y="372016"/>
          <a:chExt cx="1564257" cy="473014"/>
        </a:xfrm>
      </xdr:grpSpPr>
      <xdr:sp macro="" textlink="Tablero!K9">
        <xdr:nvSpPr>
          <xdr:cNvPr id="34" name="CuadroTexto 33">
            <a:extLst>
              <a:ext uri="{FF2B5EF4-FFF2-40B4-BE49-F238E27FC236}">
                <a16:creationId xmlns:a16="http://schemas.microsoft.com/office/drawing/2014/main" id="{73500944-3A99-D573-584F-6E3327EF0B47}"/>
              </a:ext>
            </a:extLst>
          </xdr:cNvPr>
          <xdr:cNvSpPr txBox="1"/>
        </xdr:nvSpPr>
        <xdr:spPr>
          <a:xfrm>
            <a:off x="9053243" y="571860"/>
            <a:ext cx="1564257" cy="2731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fld id="{76509CE6-1873-4E9E-BD38-CE695D79F8FF}" type="TxLink">
              <a:rPr lang="en-US" sz="1500" b="1" i="0" u="none" strike="noStrike">
                <a:solidFill>
                  <a:srgbClr val="FB6D8F"/>
                </a:solidFill>
                <a:latin typeface="Aptos Narrow"/>
              </a:rPr>
              <a:t> $ 1.700,00 </a:t>
            </a:fld>
            <a:endParaRPr lang="es-AR" sz="1500">
              <a:solidFill>
                <a:srgbClr val="FB6D8F"/>
              </a:solidFill>
            </a:endParaRPr>
          </a:p>
        </xdr:txBody>
      </xdr:sp>
      <xdr:sp macro="" textlink="">
        <xdr:nvSpPr>
          <xdr:cNvPr id="37" name="CuadroTexto 36">
            <a:extLst>
              <a:ext uri="{FF2B5EF4-FFF2-40B4-BE49-F238E27FC236}">
                <a16:creationId xmlns:a16="http://schemas.microsoft.com/office/drawing/2014/main" id="{37BBAF5C-8D77-0AFC-9A6C-DFF451A5395E}"/>
              </a:ext>
            </a:extLst>
          </xdr:cNvPr>
          <xdr:cNvSpPr txBox="1"/>
        </xdr:nvSpPr>
        <xdr:spPr>
          <a:xfrm>
            <a:off x="9053243" y="372016"/>
            <a:ext cx="1564257" cy="2731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en-US" sz="1200" b="1" i="0" u="none" strike="noStrike">
                <a:solidFill>
                  <a:schemeClr val="bg2">
                    <a:lumMod val="50000"/>
                  </a:schemeClr>
                </a:solidFill>
                <a:latin typeface="Aptos Narrow"/>
              </a:rPr>
              <a:t>Total</a:t>
            </a:r>
            <a:r>
              <a:rPr lang="en-US" sz="1200" b="1" i="0" u="none" strike="noStrike" baseline="0">
                <a:solidFill>
                  <a:schemeClr val="bg2">
                    <a:lumMod val="50000"/>
                  </a:schemeClr>
                </a:solidFill>
                <a:latin typeface="Aptos Narrow"/>
              </a:rPr>
              <a:t> Ingresos</a:t>
            </a:r>
            <a:endParaRPr lang="en-US" sz="1200" b="1" i="0" u="none" strike="noStrike">
              <a:solidFill>
                <a:schemeClr val="bg2">
                  <a:lumMod val="50000"/>
                </a:schemeClr>
              </a:solidFill>
              <a:latin typeface="Aptos Narrow"/>
            </a:endParaRPr>
          </a:p>
        </xdr:txBody>
      </xdr:sp>
    </xdr:grpSp>
    <xdr:clientData/>
  </xdr:twoCellAnchor>
  <xdr:twoCellAnchor>
    <xdr:from>
      <xdr:col>16</xdr:col>
      <xdr:colOff>295276</xdr:colOff>
      <xdr:row>2</xdr:row>
      <xdr:rowOff>152400</xdr:rowOff>
    </xdr:from>
    <xdr:to>
      <xdr:col>19</xdr:col>
      <xdr:colOff>85725</xdr:colOff>
      <xdr:row>11</xdr:row>
      <xdr:rowOff>171451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73A8BFC5-5BC4-A657-0525-75B2BFEEB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709343</xdr:colOff>
      <xdr:row>9</xdr:row>
      <xdr:rowOff>48166</xdr:rowOff>
    </xdr:from>
    <xdr:to>
      <xdr:col>19</xdr:col>
      <xdr:colOff>749600</xdr:colOff>
      <xdr:row>11</xdr:row>
      <xdr:rowOff>140180</xdr:rowOff>
    </xdr:to>
    <xdr:grpSp>
      <xdr:nvGrpSpPr>
        <xdr:cNvPr id="47" name="Grupo 46">
          <a:extLst>
            <a:ext uri="{FF2B5EF4-FFF2-40B4-BE49-F238E27FC236}">
              <a16:creationId xmlns:a16="http://schemas.microsoft.com/office/drawing/2014/main" id="{E68514CB-1DB4-165B-3911-672387CCDDB9}"/>
            </a:ext>
          </a:extLst>
        </xdr:cNvPr>
        <xdr:cNvGrpSpPr/>
      </xdr:nvGrpSpPr>
      <xdr:grpSpPr>
        <a:xfrm>
          <a:off x="11891693" y="1791241"/>
          <a:ext cx="1564257" cy="473014"/>
          <a:chOff x="10100993" y="1829341"/>
          <a:chExt cx="1564257" cy="473014"/>
        </a:xfrm>
      </xdr:grpSpPr>
      <xdr:sp macro="" textlink="Tablero!S5">
        <xdr:nvSpPr>
          <xdr:cNvPr id="42" name="CuadroTexto 41">
            <a:extLst>
              <a:ext uri="{FF2B5EF4-FFF2-40B4-BE49-F238E27FC236}">
                <a16:creationId xmlns:a16="http://schemas.microsoft.com/office/drawing/2014/main" id="{17E6E4AA-F93A-471C-9B00-F5DADFBCFD10}"/>
              </a:ext>
            </a:extLst>
          </xdr:cNvPr>
          <xdr:cNvSpPr txBox="1"/>
        </xdr:nvSpPr>
        <xdr:spPr>
          <a:xfrm>
            <a:off x="10100993" y="2029185"/>
            <a:ext cx="1564257" cy="2731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6F11952A-C6B1-4952-9E8F-0006701103B4}" type="TxLink">
              <a:rPr lang="en-US" sz="1500" b="1" i="0" u="none" strike="noStrike">
                <a:solidFill>
                  <a:srgbClr val="FB6D8F"/>
                </a:solidFill>
                <a:latin typeface="Aptos Narrow"/>
                <a:ea typeface="+mn-ea"/>
                <a:cs typeface="+mn-cs"/>
              </a:rPr>
              <a:pPr marL="0" indent="0" algn="r"/>
              <a:t> $ 1.611,00 </a:t>
            </a:fld>
            <a:endParaRPr lang="es-AR" sz="1500" b="1" i="0" u="none" strike="noStrike">
              <a:solidFill>
                <a:srgbClr val="FB6D8F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44" name="CuadroTexto 43">
            <a:extLst>
              <a:ext uri="{FF2B5EF4-FFF2-40B4-BE49-F238E27FC236}">
                <a16:creationId xmlns:a16="http://schemas.microsoft.com/office/drawing/2014/main" id="{F0AFD6B7-84EF-4302-815B-BCC1398B7922}"/>
              </a:ext>
            </a:extLst>
          </xdr:cNvPr>
          <xdr:cNvSpPr txBox="1"/>
        </xdr:nvSpPr>
        <xdr:spPr>
          <a:xfrm>
            <a:off x="10100993" y="1829341"/>
            <a:ext cx="1564257" cy="2731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en-US" sz="1200" b="1" i="0" u="none" strike="noStrike">
                <a:solidFill>
                  <a:schemeClr val="bg2">
                    <a:lumMod val="50000"/>
                  </a:schemeClr>
                </a:solidFill>
                <a:latin typeface="Aptos Narrow"/>
              </a:rPr>
              <a:t>Total</a:t>
            </a:r>
            <a:r>
              <a:rPr lang="en-US" sz="1200" b="1" i="0" u="none" strike="noStrike" baseline="0">
                <a:solidFill>
                  <a:schemeClr val="bg2">
                    <a:lumMod val="50000"/>
                  </a:schemeClr>
                </a:solidFill>
                <a:latin typeface="Aptos Narrow"/>
              </a:rPr>
              <a:t> Ahorrado</a:t>
            </a:r>
            <a:endParaRPr lang="en-US" sz="1200" b="1" i="0" u="none" strike="noStrike">
              <a:solidFill>
                <a:schemeClr val="bg2">
                  <a:lumMod val="50000"/>
                </a:schemeClr>
              </a:solidFill>
              <a:latin typeface="Aptos Narrow"/>
            </a:endParaRPr>
          </a:p>
        </xdr:txBody>
      </xdr:sp>
    </xdr:grpSp>
    <xdr:clientData/>
  </xdr:twoCellAnchor>
  <xdr:twoCellAnchor>
    <xdr:from>
      <xdr:col>16</xdr:col>
      <xdr:colOff>285750</xdr:colOff>
      <xdr:row>1</xdr:row>
      <xdr:rowOff>180975</xdr:rowOff>
    </xdr:from>
    <xdr:to>
      <xdr:col>18</xdr:col>
      <xdr:colOff>695325</xdr:colOff>
      <xdr:row>3</xdr:row>
      <xdr:rowOff>85726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94D2AFBB-C929-4CEB-984F-5B8538704B3A}"/>
            </a:ext>
          </a:extLst>
        </xdr:cNvPr>
        <xdr:cNvSpPr txBox="1"/>
      </xdr:nvSpPr>
      <xdr:spPr>
        <a:xfrm>
          <a:off x="10706100" y="371475"/>
          <a:ext cx="1933575" cy="2952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5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</a:rPr>
            <a:t>Ingresos Ahorrados</a:t>
          </a:r>
          <a:endParaRPr lang="en-US" sz="1500" b="0" i="0" u="none" strike="noStrike">
            <a:solidFill>
              <a:schemeClr val="tx1">
                <a:lumMod val="65000"/>
                <a:lumOff val="35000"/>
              </a:schemeClr>
            </a:solidFill>
            <a:latin typeface="Aptos Narrow"/>
          </a:endParaRPr>
        </a:p>
      </xdr:txBody>
    </xdr:sp>
    <xdr:clientData/>
  </xdr:twoCellAnchor>
  <xdr:twoCellAnchor>
    <xdr:from>
      <xdr:col>17</xdr:col>
      <xdr:colOff>142875</xdr:colOff>
      <xdr:row>6</xdr:row>
      <xdr:rowOff>29116</xdr:rowOff>
    </xdr:from>
    <xdr:to>
      <xdr:col>18</xdr:col>
      <xdr:colOff>111425</xdr:colOff>
      <xdr:row>7</xdr:row>
      <xdr:rowOff>111786</xdr:rowOff>
    </xdr:to>
    <xdr:sp macro="" textlink="Tablero!T5">
      <xdr:nvSpPr>
        <xdr:cNvPr id="51" name="CuadroTexto 50">
          <a:extLst>
            <a:ext uri="{FF2B5EF4-FFF2-40B4-BE49-F238E27FC236}">
              <a16:creationId xmlns:a16="http://schemas.microsoft.com/office/drawing/2014/main" id="{510FC3F2-4D8A-4A3E-9998-EF39666A89B2}"/>
            </a:ext>
          </a:extLst>
        </xdr:cNvPr>
        <xdr:cNvSpPr txBox="1"/>
      </xdr:nvSpPr>
      <xdr:spPr>
        <a:xfrm>
          <a:off x="11325225" y="1181641"/>
          <a:ext cx="730550" cy="2731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4A5EA5FA-F284-4889-8F66-4C3CDA7B2C6F}" type="TxLink">
            <a:rPr lang="en-US" sz="1500" b="1" i="0" u="none" strike="noStrike">
              <a:solidFill>
                <a:srgbClr val="FB6D8F"/>
              </a:solidFill>
              <a:latin typeface="Aptos Narrow"/>
              <a:ea typeface="+mn-ea"/>
              <a:cs typeface="+mn-cs"/>
            </a:rPr>
            <a:pPr marL="0" indent="0" algn="r"/>
            <a:t>94,8%</a:t>
          </a:fld>
          <a:endParaRPr lang="es-AR" sz="1500" b="1" i="0" u="none" strike="noStrike">
            <a:solidFill>
              <a:srgbClr val="FB6D8F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142875</xdr:colOff>
      <xdr:row>7</xdr:row>
      <xdr:rowOff>48166</xdr:rowOff>
    </xdr:from>
    <xdr:to>
      <xdr:col>18</xdr:col>
      <xdr:colOff>111425</xdr:colOff>
      <xdr:row>8</xdr:row>
      <xdr:rowOff>130836</xdr:rowOff>
    </xdr:to>
    <xdr:sp macro="" textlink="Tablero!T4">
      <xdr:nvSpPr>
        <xdr:cNvPr id="52" name="CuadroTexto 51">
          <a:extLst>
            <a:ext uri="{FF2B5EF4-FFF2-40B4-BE49-F238E27FC236}">
              <a16:creationId xmlns:a16="http://schemas.microsoft.com/office/drawing/2014/main" id="{C28C8E39-5D82-4489-A027-570A83A8989F}"/>
            </a:ext>
          </a:extLst>
        </xdr:cNvPr>
        <xdr:cNvSpPr txBox="1"/>
      </xdr:nvSpPr>
      <xdr:spPr>
        <a:xfrm>
          <a:off x="11325225" y="1391191"/>
          <a:ext cx="730550" cy="2731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830D4B1A-82D6-4410-A06F-1DFC064049A9}" type="TxLink">
            <a:rPr lang="en-US" sz="1400" b="1" i="0" u="none" strike="noStrike">
              <a:solidFill>
                <a:srgbClr val="F91B6A"/>
              </a:solidFill>
              <a:latin typeface="Aptos Narrow"/>
              <a:ea typeface="+mn-ea"/>
              <a:cs typeface="+mn-cs"/>
            </a:rPr>
            <a:pPr marL="0" indent="0" algn="r"/>
            <a:t>5,2%</a:t>
          </a:fld>
          <a:endParaRPr lang="es-AR" sz="1400" b="1" i="0" u="none" strike="noStrike">
            <a:solidFill>
              <a:srgbClr val="F91B6A"/>
            </a:solidFill>
            <a:latin typeface="Aptos Narrow"/>
            <a:ea typeface="+mn-ea"/>
            <a:cs typeface="+mn-cs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87500E-4023-40C2-A2A9-9FA2DD9CCD78}" name="tCatMov" displayName="tCatMov" ref="A2:C20" totalsRowShown="0">
  <autoFilter ref="A2:C20" xr:uid="{DB87500E-4023-40C2-A2A9-9FA2DD9CCD78}"/>
  <tableColumns count="3">
    <tableColumn id="1" xr3:uid="{07383BEF-8819-4DAB-BDE3-A5E34C564042}" name="Id, Categoria"/>
    <tableColumn id="2" xr3:uid="{0EB94040-2073-46F9-8C1B-59F92671D704}" name="Id.Movimiento"/>
    <tableColumn id="3" xr3:uid="{ABE54AA5-65AA-4F01-AF2E-F3B8026B8D39}" name="Nomb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759A42-13C6-41CF-999D-DB0511DEAF67}" name="tAlm" displayName="tAlm" ref="E3:F7" totalsRowShown="0">
  <autoFilter ref="E3:F7" xr:uid="{D6759A42-13C6-41CF-999D-DB0511DEAF67}"/>
  <tableColumns count="2">
    <tableColumn id="1" xr3:uid="{6BC16319-FCA2-4906-8E96-646A5A720B69}" name="Id. Almacén"/>
    <tableColumn id="2" xr3:uid="{4EE7D991-1984-46F9-985B-8E4E10D59A34}" name="Almacé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EB05C7-8353-4BFD-BC58-D6B7162171CF}" name="tMov" displayName="tMov" ref="A3:E33" totalsRowShown="0">
  <autoFilter ref="A3:E33" xr:uid="{B7EB05C7-8353-4BFD-BC58-D6B7162171CF}"/>
  <tableColumns count="5">
    <tableColumn id="1" xr3:uid="{97E40F10-9073-4EBA-8A57-D6BC6CA8492F}" name="Fecha" dataDxfId="6"/>
    <tableColumn id="2" xr3:uid="{F35D4F05-F6A2-47AC-8588-91B383BC78CC}" name="Categoría"/>
    <tableColumn id="3" xr3:uid="{70B0720B-3850-495C-8F32-6A4096A7F41C}" name="Detalle"/>
    <tableColumn id="4" xr3:uid="{DED0154C-D73B-4150-A1D9-0384F1B2650D}" name="Almacén"/>
    <tableColumn id="5" xr3:uid="{7E40EDA1-9430-4B36-B961-DB54B3722944}" name="Valor" dataDxfId="5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9DCD-778F-472A-A38E-98179F3E37B3}">
  <dimension ref="A1:F20"/>
  <sheetViews>
    <sheetView workbookViewId="0">
      <selection activeCell="D10" sqref="D10"/>
    </sheetView>
  </sheetViews>
  <sheetFormatPr baseColWidth="10" defaultRowHeight="15" x14ac:dyDescent="0.25"/>
  <cols>
    <col min="1" max="1" width="14.5703125" customWidth="1"/>
    <col min="2" max="2" width="16.140625" customWidth="1"/>
    <col min="3" max="3" width="15.42578125" customWidth="1"/>
    <col min="5" max="5" width="13.5703125" customWidth="1"/>
    <col min="6" max="6" width="19.28515625" bestFit="1" customWidth="1"/>
  </cols>
  <sheetData>
    <row r="1" spans="1:6" x14ac:dyDescent="0.25">
      <c r="A1" t="s">
        <v>0</v>
      </c>
    </row>
    <row r="2" spans="1:6" x14ac:dyDescent="0.25">
      <c r="A2" t="s">
        <v>1</v>
      </c>
      <c r="B2" t="s">
        <v>2</v>
      </c>
      <c r="C2" t="s">
        <v>3</v>
      </c>
      <c r="E2" t="s">
        <v>22</v>
      </c>
    </row>
    <row r="3" spans="1:6" x14ac:dyDescent="0.25">
      <c r="A3">
        <v>1</v>
      </c>
      <c r="B3">
        <v>1</v>
      </c>
      <c r="C3" t="s">
        <v>6</v>
      </c>
      <c r="E3" t="s">
        <v>23</v>
      </c>
      <c r="F3" t="s">
        <v>24</v>
      </c>
    </row>
    <row r="4" spans="1:6" x14ac:dyDescent="0.25">
      <c r="A4">
        <v>2</v>
      </c>
      <c r="B4">
        <v>1</v>
      </c>
      <c r="C4" t="s">
        <v>4</v>
      </c>
      <c r="E4">
        <v>1</v>
      </c>
      <c r="F4" t="s">
        <v>25</v>
      </c>
    </row>
    <row r="5" spans="1:6" x14ac:dyDescent="0.25">
      <c r="A5">
        <v>3</v>
      </c>
      <c r="B5">
        <v>1</v>
      </c>
      <c r="C5" t="s">
        <v>5</v>
      </c>
      <c r="E5">
        <v>2</v>
      </c>
      <c r="F5" t="s">
        <v>26</v>
      </c>
    </row>
    <row r="6" spans="1:6" x14ac:dyDescent="0.25">
      <c r="A6">
        <v>4</v>
      </c>
      <c r="B6">
        <v>1</v>
      </c>
      <c r="C6" t="s">
        <v>7</v>
      </c>
      <c r="E6">
        <v>3</v>
      </c>
      <c r="F6" t="s">
        <v>27</v>
      </c>
    </row>
    <row r="7" spans="1:6" x14ac:dyDescent="0.25">
      <c r="A7">
        <v>5</v>
      </c>
      <c r="B7">
        <v>2</v>
      </c>
      <c r="C7" t="s">
        <v>8</v>
      </c>
      <c r="E7">
        <v>4</v>
      </c>
      <c r="F7" t="s">
        <v>36</v>
      </c>
    </row>
    <row r="8" spans="1:6" x14ac:dyDescent="0.25">
      <c r="A8">
        <v>6</v>
      </c>
      <c r="B8">
        <v>2</v>
      </c>
      <c r="C8" t="s">
        <v>9</v>
      </c>
    </row>
    <row r="9" spans="1:6" x14ac:dyDescent="0.25">
      <c r="A9">
        <v>7</v>
      </c>
      <c r="B9">
        <v>2</v>
      </c>
      <c r="C9" t="s">
        <v>10</v>
      </c>
    </row>
    <row r="10" spans="1:6" x14ac:dyDescent="0.25">
      <c r="A10">
        <v>8</v>
      </c>
      <c r="B10">
        <v>2</v>
      </c>
      <c r="C10" t="s">
        <v>11</v>
      </c>
    </row>
    <row r="11" spans="1:6" x14ac:dyDescent="0.25">
      <c r="A11">
        <v>9</v>
      </c>
      <c r="B11">
        <v>2</v>
      </c>
      <c r="C11" t="s">
        <v>12</v>
      </c>
    </row>
    <row r="12" spans="1:6" x14ac:dyDescent="0.25">
      <c r="A12">
        <v>10</v>
      </c>
      <c r="B12">
        <v>2</v>
      </c>
      <c r="C12" t="s">
        <v>13</v>
      </c>
    </row>
    <row r="13" spans="1:6" x14ac:dyDescent="0.25">
      <c r="A13">
        <v>11</v>
      </c>
      <c r="B13">
        <v>2</v>
      </c>
      <c r="C13" t="s">
        <v>14</v>
      </c>
    </row>
    <row r="14" spans="1:6" x14ac:dyDescent="0.25">
      <c r="A14">
        <v>12</v>
      </c>
      <c r="B14">
        <v>2</v>
      </c>
      <c r="C14" t="s">
        <v>15</v>
      </c>
    </row>
    <row r="15" spans="1:6" x14ac:dyDescent="0.25">
      <c r="A15">
        <v>13</v>
      </c>
      <c r="B15">
        <v>2</v>
      </c>
      <c r="C15" t="s">
        <v>16</v>
      </c>
    </row>
    <row r="16" spans="1:6" x14ac:dyDescent="0.25">
      <c r="A16">
        <v>14</v>
      </c>
      <c r="B16">
        <v>2</v>
      </c>
      <c r="C16" t="s">
        <v>17</v>
      </c>
    </row>
    <row r="17" spans="1:3" x14ac:dyDescent="0.25">
      <c r="A17">
        <v>15</v>
      </c>
      <c r="B17">
        <v>2</v>
      </c>
      <c r="C17" t="s">
        <v>18</v>
      </c>
    </row>
    <row r="18" spans="1:3" x14ac:dyDescent="0.25">
      <c r="A18">
        <v>16</v>
      </c>
      <c r="B18">
        <v>2</v>
      </c>
      <c r="C18" t="s">
        <v>19</v>
      </c>
    </row>
    <row r="19" spans="1:3" x14ac:dyDescent="0.25">
      <c r="A19">
        <v>17</v>
      </c>
      <c r="B19">
        <v>2</v>
      </c>
      <c r="C19" t="s">
        <v>20</v>
      </c>
    </row>
    <row r="20" spans="1:3" x14ac:dyDescent="0.25">
      <c r="A20">
        <v>18</v>
      </c>
      <c r="B20">
        <v>2</v>
      </c>
      <c r="C20" t="s">
        <v>21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C4947-2F3A-423F-8390-598E0F2EEF76}">
  <dimension ref="A1:G33"/>
  <sheetViews>
    <sheetView topLeftCell="A16" workbookViewId="0">
      <selection activeCell="E34" sqref="E34"/>
    </sheetView>
  </sheetViews>
  <sheetFormatPr baseColWidth="10" defaultRowHeight="15" x14ac:dyDescent="0.25"/>
  <cols>
    <col min="1" max="1" width="15.42578125" customWidth="1"/>
    <col min="2" max="2" width="17.42578125" customWidth="1"/>
    <col min="3" max="3" width="35.140625" bestFit="1" customWidth="1"/>
    <col min="4" max="4" width="21" customWidth="1"/>
    <col min="5" max="5" width="11.42578125" customWidth="1"/>
  </cols>
  <sheetData>
    <row r="1" spans="1:7" x14ac:dyDescent="0.25">
      <c r="A1" t="s">
        <v>28</v>
      </c>
    </row>
    <row r="3" spans="1:7" x14ac:dyDescent="0.25">
      <c r="A3" s="2" t="s">
        <v>29</v>
      </c>
      <c r="B3" t="s">
        <v>30</v>
      </c>
      <c r="C3" t="s">
        <v>31</v>
      </c>
      <c r="D3" t="s">
        <v>24</v>
      </c>
      <c r="E3" t="s">
        <v>33</v>
      </c>
      <c r="G3" t="s">
        <v>39</v>
      </c>
    </row>
    <row r="4" spans="1:7" x14ac:dyDescent="0.25">
      <c r="A4" s="9">
        <v>46022</v>
      </c>
      <c r="B4" s="10" t="s">
        <v>6</v>
      </c>
      <c r="C4" s="10" t="s">
        <v>32</v>
      </c>
      <c r="D4" s="10" t="s">
        <v>25</v>
      </c>
      <c r="E4" s="11">
        <v>4200</v>
      </c>
      <c r="G4" cm="1">
        <f t="array" ref="G4:G33">nomSignoCategoriaTablaMov</f>
        <v>1</v>
      </c>
    </row>
    <row r="5" spans="1:7" x14ac:dyDescent="0.25">
      <c r="A5" s="9">
        <v>46022</v>
      </c>
      <c r="B5" s="10" t="s">
        <v>6</v>
      </c>
      <c r="C5" s="10" t="s">
        <v>32</v>
      </c>
      <c r="D5" s="10" t="s">
        <v>26</v>
      </c>
      <c r="E5" s="11">
        <v>6300</v>
      </c>
      <c r="G5">
        <v>1</v>
      </c>
    </row>
    <row r="6" spans="1:7" x14ac:dyDescent="0.25">
      <c r="A6" s="9">
        <v>46022</v>
      </c>
      <c r="B6" s="10" t="s">
        <v>6</v>
      </c>
      <c r="C6" s="10" t="s">
        <v>34</v>
      </c>
      <c r="D6" s="10" t="s">
        <v>27</v>
      </c>
      <c r="E6" s="11">
        <v>0</v>
      </c>
      <c r="G6">
        <v>1</v>
      </c>
    </row>
    <row r="7" spans="1:7" x14ac:dyDescent="0.25">
      <c r="A7" s="9">
        <v>46022</v>
      </c>
      <c r="B7" s="10" t="s">
        <v>6</v>
      </c>
      <c r="C7" s="10" t="s">
        <v>35</v>
      </c>
      <c r="D7" s="10" t="s">
        <v>36</v>
      </c>
      <c r="E7" s="11">
        <v>800</v>
      </c>
      <c r="G7">
        <v>1</v>
      </c>
    </row>
    <row r="8" spans="1:7" x14ac:dyDescent="0.25">
      <c r="A8" s="3">
        <v>46024</v>
      </c>
      <c r="B8" t="s">
        <v>19</v>
      </c>
      <c r="C8" t="s">
        <v>37</v>
      </c>
      <c r="D8" t="s">
        <v>26</v>
      </c>
      <c r="E8" s="1">
        <v>65.8</v>
      </c>
      <c r="G8">
        <v>-1</v>
      </c>
    </row>
    <row r="9" spans="1:7" x14ac:dyDescent="0.25">
      <c r="A9" s="3">
        <v>46024</v>
      </c>
      <c r="B9" t="s">
        <v>12</v>
      </c>
      <c r="C9" t="s">
        <v>38</v>
      </c>
      <c r="D9" t="s">
        <v>26</v>
      </c>
      <c r="E9" s="1">
        <v>350</v>
      </c>
      <c r="G9">
        <v>-1</v>
      </c>
    </row>
    <row r="10" spans="1:7" x14ac:dyDescent="0.25">
      <c r="A10" s="12">
        <v>46031</v>
      </c>
      <c r="B10" s="13" t="s">
        <v>8</v>
      </c>
      <c r="C10" s="13" t="s">
        <v>42</v>
      </c>
      <c r="D10" s="13" t="s">
        <v>26</v>
      </c>
      <c r="E10" s="14">
        <v>2500</v>
      </c>
      <c r="G10">
        <v>-1</v>
      </c>
    </row>
    <row r="11" spans="1:7" x14ac:dyDescent="0.25">
      <c r="A11" s="12">
        <v>46032</v>
      </c>
      <c r="B11" s="13" t="s">
        <v>6</v>
      </c>
      <c r="C11" s="13" t="s">
        <v>43</v>
      </c>
      <c r="D11" s="13" t="s">
        <v>27</v>
      </c>
      <c r="E11" s="14">
        <v>2500</v>
      </c>
      <c r="G11">
        <v>1</v>
      </c>
    </row>
    <row r="12" spans="1:7" x14ac:dyDescent="0.25">
      <c r="A12" s="3">
        <v>46033</v>
      </c>
      <c r="B12" t="s">
        <v>12</v>
      </c>
      <c r="C12" t="s">
        <v>54</v>
      </c>
      <c r="D12" t="s">
        <v>27</v>
      </c>
      <c r="E12" s="1">
        <v>3000</v>
      </c>
      <c r="G12">
        <v>-1</v>
      </c>
    </row>
    <row r="13" spans="1:7" x14ac:dyDescent="0.25">
      <c r="A13" s="3">
        <v>46035</v>
      </c>
      <c r="B13" t="s">
        <v>10</v>
      </c>
      <c r="C13" t="s">
        <v>45</v>
      </c>
      <c r="D13" t="s">
        <v>25</v>
      </c>
      <c r="E13" s="1">
        <v>200</v>
      </c>
      <c r="G13">
        <v>-1</v>
      </c>
    </row>
    <row r="14" spans="1:7" x14ac:dyDescent="0.25">
      <c r="A14" s="3">
        <v>46057</v>
      </c>
      <c r="B14" t="s">
        <v>9</v>
      </c>
      <c r="C14" t="s">
        <v>46</v>
      </c>
      <c r="D14" t="s">
        <v>36</v>
      </c>
      <c r="E14" s="1">
        <v>400</v>
      </c>
      <c r="G14">
        <v>-1</v>
      </c>
    </row>
    <row r="15" spans="1:7" x14ac:dyDescent="0.25">
      <c r="A15" s="3">
        <v>46093</v>
      </c>
      <c r="B15" t="s">
        <v>19</v>
      </c>
      <c r="C15" t="s">
        <v>48</v>
      </c>
      <c r="D15" t="s">
        <v>25</v>
      </c>
      <c r="E15" s="1">
        <v>30</v>
      </c>
      <c r="G15">
        <v>-1</v>
      </c>
    </row>
    <row r="16" spans="1:7" x14ac:dyDescent="0.25">
      <c r="A16" s="3">
        <v>46096</v>
      </c>
      <c r="B16" t="s">
        <v>13</v>
      </c>
      <c r="C16" t="s">
        <v>49</v>
      </c>
      <c r="D16" t="s">
        <v>26</v>
      </c>
      <c r="E16" s="1">
        <v>500</v>
      </c>
      <c r="G16">
        <v>-1</v>
      </c>
    </row>
    <row r="17" spans="1:7" x14ac:dyDescent="0.25">
      <c r="A17" s="3">
        <v>46115</v>
      </c>
      <c r="B17" t="s">
        <v>18</v>
      </c>
      <c r="C17" t="s">
        <v>50</v>
      </c>
      <c r="D17" t="s">
        <v>36</v>
      </c>
      <c r="E17" s="1">
        <v>1500</v>
      </c>
      <c r="G17">
        <v>-1</v>
      </c>
    </row>
    <row r="18" spans="1:7" x14ac:dyDescent="0.25">
      <c r="A18" s="3">
        <v>46134</v>
      </c>
      <c r="B18" t="s">
        <v>15</v>
      </c>
      <c r="C18" t="s">
        <v>51</v>
      </c>
      <c r="D18" t="s">
        <v>25</v>
      </c>
      <c r="E18" s="1">
        <v>2000</v>
      </c>
      <c r="G18">
        <v>-1</v>
      </c>
    </row>
    <row r="19" spans="1:7" x14ac:dyDescent="0.25">
      <c r="A19" s="3">
        <v>46170</v>
      </c>
      <c r="B19" t="s">
        <v>14</v>
      </c>
      <c r="C19" t="s">
        <v>52</v>
      </c>
      <c r="D19" t="s">
        <v>26</v>
      </c>
      <c r="E19" s="1">
        <v>150</v>
      </c>
      <c r="G19">
        <v>-1</v>
      </c>
    </row>
    <row r="20" spans="1:7" x14ac:dyDescent="0.25">
      <c r="A20" s="3">
        <v>46172</v>
      </c>
      <c r="B20" t="s">
        <v>17</v>
      </c>
      <c r="C20" t="s">
        <v>53</v>
      </c>
      <c r="D20" t="s">
        <v>26</v>
      </c>
      <c r="E20" s="1">
        <v>2100</v>
      </c>
      <c r="G20">
        <v>-1</v>
      </c>
    </row>
    <row r="21" spans="1:7" x14ac:dyDescent="0.25">
      <c r="A21" s="3">
        <v>46175</v>
      </c>
      <c r="B21" t="s">
        <v>12</v>
      </c>
      <c r="C21" t="s">
        <v>54</v>
      </c>
      <c r="D21" t="s">
        <v>27</v>
      </c>
      <c r="E21" s="1">
        <v>3000</v>
      </c>
      <c r="G21">
        <v>-1</v>
      </c>
    </row>
    <row r="22" spans="1:7" x14ac:dyDescent="0.25">
      <c r="A22" s="3">
        <v>46199</v>
      </c>
      <c r="B22" t="s">
        <v>16</v>
      </c>
      <c r="C22" t="s">
        <v>55</v>
      </c>
      <c r="D22" t="s">
        <v>36</v>
      </c>
      <c r="E22" s="1">
        <v>100</v>
      </c>
      <c r="G22">
        <v>-1</v>
      </c>
    </row>
    <row r="23" spans="1:7" x14ac:dyDescent="0.25">
      <c r="A23" s="3">
        <v>46215</v>
      </c>
      <c r="B23" t="s">
        <v>21</v>
      </c>
      <c r="C23" t="s">
        <v>56</v>
      </c>
      <c r="D23" t="s">
        <v>36</v>
      </c>
      <c r="E23" s="1">
        <v>20</v>
      </c>
      <c r="G23">
        <v>-1</v>
      </c>
    </row>
    <row r="24" spans="1:7" x14ac:dyDescent="0.25">
      <c r="A24" s="3">
        <v>46223</v>
      </c>
      <c r="B24" t="s">
        <v>11</v>
      </c>
      <c r="C24" t="s">
        <v>57</v>
      </c>
      <c r="D24" t="s">
        <v>36</v>
      </c>
      <c r="E24" s="1">
        <v>15</v>
      </c>
      <c r="G24">
        <v>-1</v>
      </c>
    </row>
    <row r="25" spans="1:7" x14ac:dyDescent="0.25">
      <c r="A25" s="3">
        <v>46241</v>
      </c>
      <c r="B25" t="s">
        <v>19</v>
      </c>
      <c r="C25" t="s">
        <v>58</v>
      </c>
      <c r="D25" t="s">
        <v>25</v>
      </c>
      <c r="E25" s="1">
        <v>300</v>
      </c>
      <c r="G25">
        <v>-1</v>
      </c>
    </row>
    <row r="26" spans="1:7" x14ac:dyDescent="0.25">
      <c r="A26" s="3">
        <v>46281</v>
      </c>
      <c r="B26" t="s">
        <v>20</v>
      </c>
      <c r="C26" t="s">
        <v>59</v>
      </c>
      <c r="D26" t="s">
        <v>26</v>
      </c>
      <c r="E26" s="1">
        <v>45</v>
      </c>
      <c r="G26">
        <v>-1</v>
      </c>
    </row>
    <row r="27" spans="1:7" x14ac:dyDescent="0.25">
      <c r="A27" s="3">
        <v>46299</v>
      </c>
      <c r="B27" t="s">
        <v>7</v>
      </c>
      <c r="C27" t="s">
        <v>60</v>
      </c>
      <c r="D27" t="s">
        <v>27</v>
      </c>
      <c r="E27" s="1">
        <v>700</v>
      </c>
      <c r="G27">
        <v>1</v>
      </c>
    </row>
    <row r="28" spans="1:7" x14ac:dyDescent="0.25">
      <c r="A28" s="3">
        <v>46349</v>
      </c>
      <c r="B28" t="s">
        <v>9</v>
      </c>
      <c r="C28" t="s">
        <v>61</v>
      </c>
      <c r="D28" t="s">
        <v>25</v>
      </c>
      <c r="E28" s="1">
        <v>37</v>
      </c>
      <c r="G28">
        <v>-1</v>
      </c>
    </row>
    <row r="29" spans="1:7" x14ac:dyDescent="0.25">
      <c r="A29" s="3">
        <v>46362</v>
      </c>
      <c r="B29" t="s">
        <v>15</v>
      </c>
      <c r="C29" t="s">
        <v>62</v>
      </c>
      <c r="D29" t="s">
        <v>26</v>
      </c>
      <c r="E29" s="1">
        <v>40</v>
      </c>
      <c r="G29">
        <v>-1</v>
      </c>
    </row>
    <row r="30" spans="1:7" x14ac:dyDescent="0.25">
      <c r="A30" s="3">
        <v>46363</v>
      </c>
      <c r="B30" t="s">
        <v>5</v>
      </c>
      <c r="C30" t="s">
        <v>81</v>
      </c>
      <c r="D30" t="s">
        <v>25</v>
      </c>
      <c r="E30" s="1">
        <v>500</v>
      </c>
      <c r="G30">
        <v>1</v>
      </c>
    </row>
    <row r="31" spans="1:7" x14ac:dyDescent="0.25">
      <c r="A31" s="3">
        <v>46364</v>
      </c>
      <c r="B31" t="s">
        <v>4</v>
      </c>
      <c r="C31" t="s">
        <v>82</v>
      </c>
      <c r="D31" t="s">
        <v>26</v>
      </c>
      <c r="E31" s="1">
        <v>800</v>
      </c>
      <c r="G31">
        <v>1</v>
      </c>
    </row>
    <row r="32" spans="1:7" x14ac:dyDescent="0.25">
      <c r="A32" s="3">
        <v>46365</v>
      </c>
      <c r="B32" t="s">
        <v>7</v>
      </c>
      <c r="C32" t="s">
        <v>60</v>
      </c>
      <c r="D32" t="s">
        <v>27</v>
      </c>
      <c r="E32" s="1">
        <v>400</v>
      </c>
      <c r="G32">
        <v>1</v>
      </c>
    </row>
    <row r="33" spans="1:7" x14ac:dyDescent="0.25">
      <c r="A33" s="3">
        <v>46366</v>
      </c>
      <c r="B33" t="s">
        <v>9</v>
      </c>
      <c r="C33" t="s">
        <v>85</v>
      </c>
      <c r="D33" t="s">
        <v>26</v>
      </c>
      <c r="E33" s="1">
        <v>49</v>
      </c>
      <c r="G33">
        <v>-1</v>
      </c>
    </row>
  </sheetData>
  <dataValidations count="2">
    <dataValidation type="list" allowBlank="1" showInputMessage="1" showErrorMessage="1" sqref="B4:B33" xr:uid="{B0857563-3469-453E-89F7-3FC84F036852}">
      <formula1>nomCat</formula1>
    </dataValidation>
    <dataValidation type="list" allowBlank="1" showInputMessage="1" showErrorMessage="1" sqref="D4:D33" xr:uid="{8F123CE8-63A2-4A7C-81F0-918AFA3167A5}">
      <formula1>nomAlm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A0B4-5852-438E-9538-07BBC3C30E2E}">
  <dimension ref="A1:S43"/>
  <sheetViews>
    <sheetView workbookViewId="0">
      <selection activeCell="G25" sqref="G25"/>
    </sheetView>
  </sheetViews>
  <sheetFormatPr baseColWidth="10" defaultRowHeight="15" x14ac:dyDescent="0.25"/>
  <cols>
    <col min="1" max="1" width="19.28515625" bestFit="1" customWidth="1"/>
    <col min="2" max="2" width="12" bestFit="1" customWidth="1"/>
    <col min="4" max="4" width="15.85546875" customWidth="1"/>
    <col min="5" max="5" width="14.140625" customWidth="1"/>
    <col min="7" max="7" width="30.42578125" customWidth="1"/>
    <col min="18" max="18" width="15.85546875" customWidth="1"/>
  </cols>
  <sheetData>
    <row r="1" spans="1:19" x14ac:dyDescent="0.25">
      <c r="A1" s="7" t="s">
        <v>40</v>
      </c>
      <c r="B1" s="7"/>
      <c r="D1" s="7" t="s">
        <v>44</v>
      </c>
      <c r="E1" s="7"/>
      <c r="F1" s="7"/>
      <c r="G1" s="7"/>
      <c r="R1" s="4"/>
    </row>
    <row r="2" spans="1:19" x14ac:dyDescent="0.25">
      <c r="A2" s="8" t="s">
        <v>24</v>
      </c>
      <c r="B2" s="8" t="s">
        <v>41</v>
      </c>
      <c r="D2" s="18" t="str" cm="1">
        <f t="array" ref="D2:O16">_xlfn.LET(_xlpm.fec, tMov[Fecha], _xlpm.cat, tMov[Categoría], _xlpm.val, tMov[Valor], _xlpm.sig, nomSignoCategoriaTablaMov, _xlfn.PIVOTBY(_xlpm.cat, YEAR(_xlpm.fec)&amp;"-"&amp;TEXT(MONTH(_xlpm.fec), "00"), _xlpm.val, _xleta.SUM,0,1,,0,,(_xlpm.sig&lt;0)*(_xlpm.cat&lt;&gt;"Egr. de ajuste")))</f>
        <v/>
      </c>
      <c r="E2" s="18" t="str">
        <v>2026-01</v>
      </c>
      <c r="F2" s="15" t="str">
        <v>2026-02</v>
      </c>
      <c r="G2" s="15" t="str">
        <v>2026-03</v>
      </c>
      <c r="H2" s="15" t="str">
        <v>2026-04</v>
      </c>
      <c r="I2" s="15" t="str">
        <v>2026-05</v>
      </c>
      <c r="J2" s="15" t="str">
        <v>2026-06</v>
      </c>
      <c r="K2" s="15" t="str">
        <v>2026-07</v>
      </c>
      <c r="L2" s="15" t="str">
        <v>2026-08</v>
      </c>
      <c r="M2" s="15" t="str">
        <v>2026-09</v>
      </c>
      <c r="N2" s="15" t="str">
        <v>2026-11</v>
      </c>
      <c r="O2" s="15" t="str">
        <v>2026-12</v>
      </c>
      <c r="R2" s="23"/>
      <c r="S2" s="23"/>
    </row>
    <row r="3" spans="1:19" x14ac:dyDescent="0.25">
      <c r="A3" t="str" cm="1">
        <f t="array" ref="A3:B7">_xlfn.LET(_xlpm.alm, tMov[Almacén], _xlpm.val, tMov[Valor], _xlpm.sig, nomSignoCategoriaTablaMov, _xlfn.GROUPBY(_xlpm.alm, _xlpm.val*_xlpm.sig,_xleta.SUM, 0, 1))</f>
        <v>BBVA</v>
      </c>
      <c r="B3" s="1">
        <v>2133</v>
      </c>
      <c r="D3" t="str">
        <v>alimentación</v>
      </c>
      <c r="E3" s="16">
        <v>200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 spans="1:19" x14ac:dyDescent="0.25">
      <c r="A4" t="str">
        <v>Depósito &amp; inversión</v>
      </c>
      <c r="B4" s="1">
        <v>-2400</v>
      </c>
      <c r="D4" t="str">
        <v>compras</v>
      </c>
      <c r="E4" s="16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>
        <v>15</v>
      </c>
      <c r="L4" t="str">
        <v/>
      </c>
      <c r="M4" t="str">
        <v/>
      </c>
      <c r="N4" t="str">
        <v/>
      </c>
      <c r="O4" t="str">
        <v/>
      </c>
    </row>
    <row r="5" spans="1:19" x14ac:dyDescent="0.25">
      <c r="A5" t="str">
        <v>Efectivo</v>
      </c>
      <c r="B5" s="1">
        <v>-1235</v>
      </c>
      <c r="D5" t="str">
        <v>despensa</v>
      </c>
      <c r="E5" s="16">
        <v>65.8</v>
      </c>
      <c r="F5" t="str">
        <v/>
      </c>
      <c r="G5">
        <v>30</v>
      </c>
      <c r="H5" t="str">
        <v/>
      </c>
      <c r="I5" t="str">
        <v/>
      </c>
      <c r="J5" t="str">
        <v/>
      </c>
      <c r="K5" t="str">
        <v/>
      </c>
      <c r="L5">
        <v>300</v>
      </c>
      <c r="M5" t="str">
        <v/>
      </c>
      <c r="N5" t="str">
        <v/>
      </c>
      <c r="O5" t="str">
        <v/>
      </c>
    </row>
    <row r="6" spans="1:19" x14ac:dyDescent="0.25">
      <c r="A6" t="str">
        <v>Santander</v>
      </c>
      <c r="B6" s="1">
        <v>1300.1999999999998</v>
      </c>
      <c r="D6" t="str">
        <v>educación</v>
      </c>
      <c r="E6" t="str">
        <v/>
      </c>
      <c r="F6" t="str">
        <v/>
      </c>
      <c r="G6" t="str">
        <v/>
      </c>
      <c r="H6" t="str">
        <v/>
      </c>
      <c r="I6">
        <v>2100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 spans="1:19" x14ac:dyDescent="0.25">
      <c r="A7" s="5" t="str">
        <v>Total</v>
      </c>
      <c r="B7" s="6">
        <v>-201.79999999999927</v>
      </c>
      <c r="D7" t="str">
        <v>impuestos</v>
      </c>
      <c r="E7" t="str">
        <v/>
      </c>
      <c r="F7" t="str">
        <v/>
      </c>
      <c r="G7" t="str">
        <v/>
      </c>
      <c r="H7" t="str">
        <v/>
      </c>
      <c r="I7">
        <v>150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 spans="1:19" x14ac:dyDescent="0.25">
      <c r="D8" t="str">
        <v>medicina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>
        <v>20</v>
      </c>
      <c r="L8" t="str">
        <v/>
      </c>
      <c r="M8" t="str">
        <v/>
      </c>
      <c r="N8" t="str">
        <v/>
      </c>
      <c r="O8" t="str">
        <v/>
      </c>
    </row>
    <row r="9" spans="1:19" x14ac:dyDescent="0.25">
      <c r="D9" t="str">
        <v>membresías</v>
      </c>
      <c r="E9" t="str">
        <v/>
      </c>
      <c r="F9" t="str">
        <v/>
      </c>
      <c r="G9" t="str">
        <v/>
      </c>
      <c r="H9">
        <v>2000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>
        <v>40</v>
      </c>
    </row>
    <row r="10" spans="1:19" x14ac:dyDescent="0.25">
      <c r="D10" t="str">
        <v>rentas</v>
      </c>
      <c r="E10">
        <v>3350</v>
      </c>
      <c r="F10" t="str">
        <v/>
      </c>
      <c r="G10" t="str">
        <v/>
      </c>
      <c r="H10" t="str">
        <v/>
      </c>
      <c r="I10" t="str">
        <v/>
      </c>
      <c r="J10">
        <v>3000</v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 spans="1:19" x14ac:dyDescent="0.25">
      <c r="D11" t="str">
        <v>reparaciones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>
        <v>100</v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 spans="1:19" x14ac:dyDescent="0.25">
      <c r="D12" t="str">
        <v>salud &amp; pensión</v>
      </c>
      <c r="E12" t="str">
        <v/>
      </c>
      <c r="F12" t="str">
        <v/>
      </c>
      <c r="G12">
        <v>500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 spans="1:19" x14ac:dyDescent="0.25">
      <c r="D13" t="str">
        <v>Ser. Públicos</v>
      </c>
      <c r="E13" t="str">
        <v/>
      </c>
      <c r="F13">
        <v>400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>
        <v>37</v>
      </c>
      <c r="O13">
        <v>49</v>
      </c>
    </row>
    <row r="14" spans="1:19" x14ac:dyDescent="0.25">
      <c r="D14" t="str">
        <v>transporte</v>
      </c>
      <c r="E14" t="str">
        <v/>
      </c>
      <c r="F14" t="str">
        <v/>
      </c>
      <c r="G14" t="str">
        <v/>
      </c>
      <c r="H14">
        <v>1500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 spans="1:19" x14ac:dyDescent="0.25">
      <c r="D15" t="str">
        <v>vestuario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>
        <v>45</v>
      </c>
      <c r="N15" t="str">
        <v/>
      </c>
      <c r="O15" t="str">
        <v/>
      </c>
    </row>
    <row r="16" spans="1:19" x14ac:dyDescent="0.25">
      <c r="D16" s="4" t="str">
        <v>Total</v>
      </c>
      <c r="E16" s="4">
        <v>3615.8</v>
      </c>
      <c r="F16" s="4">
        <v>400</v>
      </c>
      <c r="G16" s="4">
        <v>530</v>
      </c>
      <c r="H16" s="4">
        <v>3500</v>
      </c>
      <c r="I16" s="4">
        <v>2250</v>
      </c>
      <c r="J16" s="4">
        <v>3100</v>
      </c>
      <c r="K16" s="4">
        <v>35</v>
      </c>
      <c r="L16" s="4">
        <v>300</v>
      </c>
      <c r="M16" s="4">
        <v>45</v>
      </c>
      <c r="N16" s="4">
        <v>37</v>
      </c>
      <c r="O16" s="4">
        <v>89</v>
      </c>
    </row>
    <row r="20" spans="1:7" x14ac:dyDescent="0.25">
      <c r="D20" s="5" t="s">
        <v>68</v>
      </c>
      <c r="E20" s="19"/>
      <c r="F20" s="19"/>
      <c r="G20" s="19"/>
    </row>
    <row r="21" spans="1:7" x14ac:dyDescent="0.25">
      <c r="D21" s="17" t="str" cm="1">
        <f t="array" ref="D21:F25">_xlfn.LET(_xlpm.fec, tMov[Fecha], _xlpm.cat, tMov[Categoría], _xlpm.val, tMov[Valor], _xlpm.sig, nomSignoCategoriaTablaMov, _xlfn.PIVOTBY(_xlpm.cat, YEAR(_xlpm.fec)&amp;"-"&amp;TEXT(MONTH(_xlpm.fec), "00"), _xlpm.val, _xleta.SUM,0,1,,0,,(_xlpm.sig&gt;0)*(_xlpm.cat&lt;&gt;"Ing. de ajuste")))</f>
        <v/>
      </c>
      <c r="E21" s="17" t="str">
        <v>2026-10</v>
      </c>
      <c r="F21" t="str">
        <v>2026-12</v>
      </c>
    </row>
    <row r="22" spans="1:7" x14ac:dyDescent="0.25">
      <c r="D22" t="str">
        <v>Ing. x asesoría</v>
      </c>
      <c r="E22" t="str">
        <v/>
      </c>
      <c r="F22">
        <v>500</v>
      </c>
    </row>
    <row r="23" spans="1:7" x14ac:dyDescent="0.25">
      <c r="D23" s="4" t="str">
        <v>Ing. x inversión</v>
      </c>
      <c r="E23" s="4">
        <v>700</v>
      </c>
      <c r="F23">
        <v>400</v>
      </c>
    </row>
    <row r="24" spans="1:7" x14ac:dyDescent="0.25">
      <c r="D24" t="str">
        <v>Ing.x salario</v>
      </c>
      <c r="E24" t="str">
        <v/>
      </c>
      <c r="F24">
        <v>800</v>
      </c>
    </row>
    <row r="25" spans="1:7" x14ac:dyDescent="0.25">
      <c r="D25" t="str">
        <v>Total</v>
      </c>
      <c r="E25">
        <v>700</v>
      </c>
      <c r="F25">
        <v>1700</v>
      </c>
    </row>
    <row r="28" spans="1:7" x14ac:dyDescent="0.25">
      <c r="D28" s="21" t="s">
        <v>65</v>
      </c>
      <c r="E28" s="21" t="s">
        <v>64</v>
      </c>
      <c r="F28" s="21" t="s">
        <v>66</v>
      </c>
      <c r="G28" s="21" t="s">
        <v>67</v>
      </c>
    </row>
    <row r="29" spans="1:7" x14ac:dyDescent="0.25">
      <c r="A29" s="20" t="s">
        <v>47</v>
      </c>
      <c r="B29" s="20" t="s">
        <v>63</v>
      </c>
      <c r="D29" t="e" cm="1">
        <f t="array" ref="D29:D43">_xlfn.LET(_xlpm.sec, _xlfn.SEQUENCE(, COLUMNS(_xlfn.ANCHORARRAY(D2))), _xlpm.pos,_xlfn.XLOOKUP(B29, _xlfn.TAKE(_xlfn.ANCHORARRAY(D2), 1), _xlpm.sec), _xlfn.BYROW(IF(_xlpm.sec &lt; _xlpm.pos,_xlfn.ANCHORARRAY( D2), ""), _xleta.AVERAGE))</f>
        <v>#DIV/0!</v>
      </c>
      <c r="E29" t="str" cm="1">
        <f t="array" ref="E29:E43">_xlfn.LET(_xlpm.sec, _xlfn.SEQUENCE(, COLUMNS(_xlfn.ANCHORARRAY(D2))), _xlpm.pos,_xlfn.XLOOKUP(B29, _xlfn.TAKE(_xlfn.ANCHORARRAY(D2), 1), _xlpm.sec), _xlfn.CHOOSECOLS(_xlfn.ANCHORARRAY(D2), _xlpm.pos))</f>
        <v>2026-03</v>
      </c>
      <c r="F29" s="22" t="e" cm="1">
        <f t="array" ref="F29:F43">(_xlfn.ANCHORARRAY(E29)-_xlfn.ANCHORARRAY(D29))/_xlfn.ANCHORARRAY(D29)</f>
        <v>#VALUE!</v>
      </c>
      <c r="G29" s="22" t="e" cm="1">
        <f t="array" ref="G29:G43">(_xlfn.ANCHORARRAY(E29)/_xlfn.ANCHORARRAY(D29))-1</f>
        <v>#VALUE!</v>
      </c>
    </row>
    <row r="30" spans="1:7" x14ac:dyDescent="0.25">
      <c r="A30" s="5" t="s">
        <v>69</v>
      </c>
      <c r="D30">
        <v>200</v>
      </c>
      <c r="E30" t="str">
        <v/>
      </c>
      <c r="F30" s="22" t="e">
        <v>#VALUE!</v>
      </c>
      <c r="G30" s="22" t="e">
        <v>#VALUE!</v>
      </c>
    </row>
    <row r="31" spans="1:7" x14ac:dyDescent="0.25">
      <c r="D31" t="e">
        <v>#DIV/0!</v>
      </c>
      <c r="E31" t="str">
        <v/>
      </c>
      <c r="F31" s="22" t="e">
        <v>#VALUE!</v>
      </c>
      <c r="G31" s="22" t="e">
        <v>#VALUE!</v>
      </c>
    </row>
    <row r="32" spans="1:7" x14ac:dyDescent="0.25">
      <c r="D32">
        <v>65.8</v>
      </c>
      <c r="E32">
        <v>30</v>
      </c>
      <c r="F32" s="22">
        <v>-0.54407294832826747</v>
      </c>
      <c r="G32" s="22">
        <v>-0.54407294832826747</v>
      </c>
    </row>
    <row r="33" spans="4:7" x14ac:dyDescent="0.25">
      <c r="D33" t="e">
        <v>#DIV/0!</v>
      </c>
      <c r="E33" t="str">
        <v/>
      </c>
      <c r="F33" s="22" t="e">
        <v>#VALUE!</v>
      </c>
      <c r="G33" s="22" t="e">
        <v>#VALUE!</v>
      </c>
    </row>
    <row r="34" spans="4:7" x14ac:dyDescent="0.25">
      <c r="D34" t="e">
        <v>#DIV/0!</v>
      </c>
      <c r="E34" t="str">
        <v/>
      </c>
      <c r="F34" s="22" t="e">
        <v>#VALUE!</v>
      </c>
      <c r="G34" s="22" t="e">
        <v>#VALUE!</v>
      </c>
    </row>
    <row r="35" spans="4:7" x14ac:dyDescent="0.25">
      <c r="D35" t="e">
        <v>#DIV/0!</v>
      </c>
      <c r="E35" t="str">
        <v/>
      </c>
      <c r="F35" s="22" t="e">
        <v>#VALUE!</v>
      </c>
      <c r="G35" s="22" t="e">
        <v>#VALUE!</v>
      </c>
    </row>
    <row r="36" spans="4:7" x14ac:dyDescent="0.25">
      <c r="D36" t="e">
        <v>#DIV/0!</v>
      </c>
      <c r="E36" t="str">
        <v/>
      </c>
      <c r="F36" s="22" t="e">
        <v>#VALUE!</v>
      </c>
      <c r="G36" s="22" t="e">
        <v>#VALUE!</v>
      </c>
    </row>
    <row r="37" spans="4:7" x14ac:dyDescent="0.25">
      <c r="D37">
        <v>3350</v>
      </c>
      <c r="E37" t="str">
        <v/>
      </c>
      <c r="F37" s="22" t="e">
        <v>#VALUE!</v>
      </c>
      <c r="G37" s="22" t="e">
        <v>#VALUE!</v>
      </c>
    </row>
    <row r="38" spans="4:7" x14ac:dyDescent="0.25">
      <c r="D38" t="e">
        <v>#DIV/0!</v>
      </c>
      <c r="E38" t="str">
        <v/>
      </c>
      <c r="F38" s="22" t="e">
        <v>#VALUE!</v>
      </c>
      <c r="G38" s="22" t="e">
        <v>#VALUE!</v>
      </c>
    </row>
    <row r="39" spans="4:7" x14ac:dyDescent="0.25">
      <c r="D39" t="e">
        <v>#DIV/0!</v>
      </c>
      <c r="E39">
        <v>500</v>
      </c>
      <c r="F39" s="22" t="e">
        <v>#DIV/0!</v>
      </c>
      <c r="G39" s="22" t="e">
        <v>#DIV/0!</v>
      </c>
    </row>
    <row r="40" spans="4:7" x14ac:dyDescent="0.25">
      <c r="D40">
        <v>400</v>
      </c>
      <c r="E40" t="str">
        <v/>
      </c>
      <c r="F40" s="22" t="e">
        <v>#VALUE!</v>
      </c>
      <c r="G40" s="22" t="e">
        <v>#VALUE!</v>
      </c>
    </row>
    <row r="41" spans="4:7" x14ac:dyDescent="0.25">
      <c r="D41" t="e">
        <v>#DIV/0!</v>
      </c>
      <c r="E41" t="str">
        <v/>
      </c>
      <c r="F41" s="22" t="e">
        <v>#VALUE!</v>
      </c>
      <c r="G41" s="22" t="e">
        <v>#VALUE!</v>
      </c>
    </row>
    <row r="42" spans="4:7" x14ac:dyDescent="0.25">
      <c r="D42" t="e">
        <v>#DIV/0!</v>
      </c>
      <c r="E42" t="str">
        <v/>
      </c>
      <c r="F42" s="22" t="e">
        <v>#VALUE!</v>
      </c>
      <c r="G42" s="22" t="e">
        <v>#VALUE!</v>
      </c>
    </row>
    <row r="43" spans="4:7" x14ac:dyDescent="0.25">
      <c r="D43">
        <v>2007.9</v>
      </c>
      <c r="E43">
        <v>530</v>
      </c>
      <c r="F43" s="22">
        <v>-0.73604263160515959</v>
      </c>
      <c r="G43" s="22">
        <v>-0.73604263160515959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959C-6EB7-473F-9689-604307F1ADB1}">
  <dimension ref="B1:T19"/>
  <sheetViews>
    <sheetView showGridLines="0" tabSelected="1" topLeftCell="A3" zoomScaleNormal="100" workbookViewId="0">
      <selection activeCell="F22" sqref="F22"/>
    </sheetView>
  </sheetViews>
  <sheetFormatPr baseColWidth="10" defaultRowHeight="15" x14ac:dyDescent="0.25"/>
  <cols>
    <col min="1" max="1" width="2.7109375" customWidth="1"/>
    <col min="4" max="4" width="2.7109375" customWidth="1"/>
    <col min="5" max="5" width="13.28515625" customWidth="1"/>
    <col min="9" max="9" width="2.7109375" customWidth="1"/>
    <col min="10" max="10" width="5.7109375" customWidth="1"/>
    <col min="11" max="11" width="14.140625" customWidth="1"/>
    <col min="14" max="14" width="11" customWidth="1"/>
    <col min="15" max="15" width="12.5703125" customWidth="1"/>
    <col min="21" max="21" width="2.7109375" customWidth="1"/>
  </cols>
  <sheetData>
    <row r="1" spans="2:20" ht="15.75" x14ac:dyDescent="0.25">
      <c r="B1" s="26" t="s">
        <v>72</v>
      </c>
      <c r="E1" s="4" t="s">
        <v>75</v>
      </c>
      <c r="K1" s="42" t="s">
        <v>84</v>
      </c>
    </row>
    <row r="2" spans="2:20" ht="15.75" thickBot="1" x14ac:dyDescent="0.3">
      <c r="B2" s="24" t="s">
        <v>70</v>
      </c>
      <c r="C2" s="24" t="s">
        <v>71</v>
      </c>
      <c r="E2" s="30" t="s">
        <v>30</v>
      </c>
      <c r="F2" s="30" t="s">
        <v>74</v>
      </c>
      <c r="G2" s="30" t="s">
        <v>41</v>
      </c>
      <c r="H2" s="30" t="s">
        <v>66</v>
      </c>
    </row>
    <row r="3" spans="2:20" x14ac:dyDescent="0.25">
      <c r="B3" s="25">
        <v>2026</v>
      </c>
      <c r="C3" s="25">
        <v>12</v>
      </c>
      <c r="E3" t="str" cm="1">
        <f t="array" ref="E3:H6">_xlfn.LET(_xlpm.repIng,_xlfn.ANCHORARRAY( Fórmulas!D21),
_xlpm.per, Tablero!B3 &amp; "-" &amp; TEXT(Tablero!C3, "00"),
_xlpm.sec, _xlfn.SEQUENCE(, COLUMNS(_xlpm.repIng)),
_xlpm.pos, _xlfn.XLOOKUP(_xlpm.per, _xlfn.TAKE(_xlpm.repIng, 1), _xlpm.sec,, 1),
_xlpm.cat, _xlfn.TAKE(_xlpm.repIng,, 1),
_xlpm.pro, _xlfn.BYROW(IF(_xlpm.sec &lt; _xlpm.pos, _xlpm.repIng, ""), _xlfn.LAMBDA(_xlpm.fila, AVERAGE(_xlpm.fila))),
_xlpm.tot, _xlfn.CHOOSECOLS(_xlpm.repIng, _xlpm.pos),
_xlpm.var, (_xlpm.tot / _xlpm.pro) - 1,
_xlpm.rep, _xlfn.HSTACK(_xlpm.cat, _xlpm.pro, _xlpm.tot, _xlpm.var),
IFERROR(_xlfn._xlws.FILTER(_xlpm.rep, (_xlpm.tot &lt;&gt; "") * (_xlfn.SEQUENCE(ROWS(_xlpm.tot)) &lt;&gt; 1)), 0))</f>
        <v>Ing. x asesoría</v>
      </c>
      <c r="F3" s="31">
        <v>0</v>
      </c>
      <c r="G3" s="16">
        <v>500</v>
      </c>
      <c r="H3" s="32">
        <v>0</v>
      </c>
      <c r="K3" t="str" cm="1">
        <f t="array" ref="K3:M5">_xlfn.DROP(_xlfn.ANCHORARRAY(E3), -1, -1)</f>
        <v>Ing. x asesoría</v>
      </c>
      <c r="L3">
        <v>0</v>
      </c>
      <c r="M3">
        <v>500</v>
      </c>
      <c r="R3" t="s">
        <v>78</v>
      </c>
      <c r="S3" s="36">
        <f>K9</f>
        <v>1700</v>
      </c>
    </row>
    <row r="4" spans="2:20" x14ac:dyDescent="0.25">
      <c r="E4" t="str">
        <v>Ing. x inversión</v>
      </c>
      <c r="F4" s="31">
        <v>700</v>
      </c>
      <c r="G4" s="16">
        <v>400</v>
      </c>
      <c r="H4" s="32">
        <v>-0.4285714285714286</v>
      </c>
      <c r="K4" t="str">
        <v>Ing. x inversión</v>
      </c>
      <c r="L4">
        <v>700</v>
      </c>
      <c r="M4">
        <v>400</v>
      </c>
      <c r="R4" t="s">
        <v>79</v>
      </c>
      <c r="S4" s="36">
        <f>O16</f>
        <v>89</v>
      </c>
      <c r="T4" s="37">
        <f>S4/S3</f>
        <v>5.2352941176470588E-2</v>
      </c>
    </row>
    <row r="5" spans="2:20" x14ac:dyDescent="0.25">
      <c r="E5" t="str">
        <v>Ing.x salario</v>
      </c>
      <c r="F5">
        <v>0</v>
      </c>
      <c r="G5">
        <v>800</v>
      </c>
      <c r="H5">
        <v>0</v>
      </c>
      <c r="K5" t="str">
        <v>Ing.x salario</v>
      </c>
      <c r="L5">
        <v>0</v>
      </c>
      <c r="M5">
        <v>800</v>
      </c>
      <c r="R5" t="s">
        <v>80</v>
      </c>
      <c r="S5" s="36">
        <f>_xlfn.LET(_xlpm.dif,S3-S4, IF(_xlpm.dif&lt;0,0,_xlpm.dif))</f>
        <v>1611</v>
      </c>
      <c r="T5" s="37">
        <f>S5/S3</f>
        <v>0.9476470588235294</v>
      </c>
    </row>
    <row r="6" spans="2:20" x14ac:dyDescent="0.25">
      <c r="E6" t="str">
        <v>Total</v>
      </c>
      <c r="F6">
        <v>700</v>
      </c>
      <c r="G6">
        <v>1700</v>
      </c>
      <c r="H6">
        <v>1.4285714285714284</v>
      </c>
    </row>
    <row r="9" spans="2:20" ht="15.75" x14ac:dyDescent="0.25">
      <c r="K9" s="33" cm="1">
        <f t="array" ref="K9">_xlfn.TAKE(_xlfn.CHOOSECOLS(_xlfn.ANCHORARRAY(E3),3), -1)</f>
        <v>1700</v>
      </c>
    </row>
    <row r="10" spans="2:20" x14ac:dyDescent="0.25">
      <c r="E10" s="38" t="s">
        <v>83</v>
      </c>
      <c r="F10" s="39"/>
      <c r="G10" s="39"/>
      <c r="H10" s="39"/>
      <c r="I10" s="34"/>
      <c r="J10" s="34"/>
      <c r="K10" s="34"/>
    </row>
    <row r="11" spans="2:20" x14ac:dyDescent="0.25">
      <c r="E11" s="40" t="s">
        <v>77</v>
      </c>
      <c r="F11" s="39"/>
      <c r="G11" s="39"/>
      <c r="H11" s="41"/>
      <c r="I11" s="34"/>
      <c r="J11" s="34"/>
      <c r="K11" s="34"/>
    </row>
    <row r="12" spans="2:20" x14ac:dyDescent="0.25">
      <c r="E12" s="40" t="s">
        <v>76</v>
      </c>
      <c r="F12" s="39"/>
      <c r="G12" s="39"/>
      <c r="H12" s="39"/>
      <c r="I12" s="34"/>
      <c r="J12" s="34"/>
      <c r="K12" s="34"/>
    </row>
    <row r="13" spans="2:20" x14ac:dyDescent="0.25"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spans="2:20" x14ac:dyDescent="0.25">
      <c r="E14" s="4" t="s">
        <v>73</v>
      </c>
    </row>
    <row r="15" spans="2:20" ht="15.75" thickBot="1" x14ac:dyDescent="0.3">
      <c r="E15" s="27" t="s">
        <v>30</v>
      </c>
      <c r="F15" s="27" t="s">
        <v>74</v>
      </c>
      <c r="G15" s="27" t="s">
        <v>41</v>
      </c>
      <c r="H15" s="27" t="s">
        <v>66</v>
      </c>
    </row>
    <row r="16" spans="2:20" ht="15.75" x14ac:dyDescent="0.25">
      <c r="E16" t="str" cm="1">
        <f t="array" ref="E16:H18">_xlfn.LET(_xlpm.repEgr,_xlfn.ANCHORARRAY( Fórmulas!D2),
_xlpm.per, Tablero!B3 &amp; "-" &amp; TEXT(Tablero!C3, "00"),
_xlpm.sec, _xlfn.SEQUENCE(, COLUMNS(_xlpm.repEgr)),
_xlpm.pos, _xlfn.XLOOKUP(_xlpm.per, _xlfn.TAKE(_xlpm.repEgr, 1), _xlpm.sec,, 1),
_xlpm.cat, _xlfn.TAKE(_xlpm.repEgr,, 1),
_xlpm.pro, _xlfn.BYROW(IF(_xlpm.sec &lt; _xlpm.pos, _xlpm.repEgr, ""), _xlfn.LAMBDA(_xlpm.fila, AVERAGE(_xlpm.fila))),
_xlpm.tot, _xlfn.CHOOSECOLS(_xlpm.repEgr, _xlpm.pos),
_xlpm.var, (_xlpm.tot / _xlpm.pro) - 1,
_xlpm.rep, _xlfn.HSTACK(_xlpm.cat, _xlpm.pro, _xlpm.tot, _xlpm.var),
IFERROR(_xlfn._xlws.FILTER(_xlpm.rep, (_xlpm.tot &lt;&gt; "") * (_xlfn.SEQUENCE(ROWS(_xlpm.tot)) &lt;&gt; 1)), 0))</f>
        <v>membresías</v>
      </c>
      <c r="F16" s="31">
        <v>2000</v>
      </c>
      <c r="G16" s="16">
        <v>40</v>
      </c>
      <c r="H16" s="29">
        <v>-0.98</v>
      </c>
      <c r="K16" t="str" cm="1">
        <f t="array" ref="K16:M17">_xlfn.DROP(_xlfn.ANCHORARRAY(E16), -1, -1)</f>
        <v>membresías</v>
      </c>
      <c r="L16">
        <v>2000</v>
      </c>
      <c r="M16">
        <v>40</v>
      </c>
      <c r="O16" s="35" cm="1">
        <f t="array" ref="O16">_xlfn.TAKE(_xlfn.CHOOSECOLS(_xlfn.ANCHORARRAY(E16),3), -1)</f>
        <v>89</v>
      </c>
    </row>
    <row r="17" spans="5:13" x14ac:dyDescent="0.25">
      <c r="E17" t="str">
        <v>Ser. Públicos</v>
      </c>
      <c r="F17" s="31">
        <v>218.5</v>
      </c>
      <c r="G17" s="16">
        <v>49</v>
      </c>
      <c r="H17" s="29">
        <v>-0.77574370709382157</v>
      </c>
      <c r="K17" t="str">
        <v>Ser. Públicos</v>
      </c>
      <c r="L17">
        <v>218.5</v>
      </c>
      <c r="M17">
        <v>49</v>
      </c>
    </row>
    <row r="18" spans="5:13" x14ac:dyDescent="0.25">
      <c r="E18" t="str">
        <v>Total</v>
      </c>
      <c r="F18">
        <v>1381.28</v>
      </c>
      <c r="G18">
        <v>89</v>
      </c>
      <c r="H18" s="29">
        <v>-0.93556701030927836</v>
      </c>
    </row>
    <row r="19" spans="5:13" x14ac:dyDescent="0.25">
      <c r="H19" s="29"/>
    </row>
  </sheetData>
  <conditionalFormatting sqref="E3:H4">
    <cfRule type="expression" dxfId="4" priority="2">
      <formula>$E3="Total"</formula>
    </cfRule>
  </conditionalFormatting>
  <conditionalFormatting sqref="E16:H17">
    <cfRule type="expression" dxfId="3" priority="4">
      <formula>$E16="Total"</formula>
    </cfRule>
    <cfRule type="expression" dxfId="2" priority="5">
      <formula>$E$16="Total"</formula>
    </cfRule>
  </conditionalFormatting>
  <conditionalFormatting sqref="E16:H19">
    <cfRule type="expression" dxfId="1" priority="3">
      <formula>$E16="Total"</formula>
    </cfRule>
  </conditionalFormatting>
  <conditionalFormatting sqref="E3:H6">
    <cfRule type="expression" dxfId="0" priority="1">
      <formula>$E3="Total"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Tablas</vt:lpstr>
      <vt:lpstr>Movimientos</vt:lpstr>
      <vt:lpstr>Fórmulas</vt:lpstr>
      <vt:lpstr>Tablero</vt:lpstr>
      <vt:lpstr>nomAlm</vt:lpstr>
      <vt:lpstr>nomCat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Student_</dc:creator>
  <cp:lastModifiedBy>data Student_</cp:lastModifiedBy>
  <dcterms:created xsi:type="dcterms:W3CDTF">2026-07-24T19:20:46Z</dcterms:created>
  <dcterms:modified xsi:type="dcterms:W3CDTF">2026-07-26T13:37:06Z</dcterms:modified>
</cp:coreProperties>
</file>