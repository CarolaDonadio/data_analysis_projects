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4.xml" ContentType="application/vnd.ms-office.activeX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B226F00D-4BE3-4A55-9D80-B343340B98EE}" xr6:coauthVersionLast="47" xr6:coauthVersionMax="47" xr10:uidLastSave="{00000000-0000-0000-0000-000000000000}"/>
  <bookViews>
    <workbookView xWindow="0" yWindow="0" windowWidth="20490" windowHeight="10920" activeTab="1" xr2:uid="{17CCC9FB-142C-4D18-A336-363075F68F78}"/>
  </bookViews>
  <sheets>
    <sheet name="CLIENTE" sheetId="1" r:id="rId1"/>
    <sheet name="CALCULADORA" sheetId="2" r:id="rId2"/>
    <sheet name="ESTADO" sheetId="3" r:id="rId3"/>
    <sheet name="RESUMEN" sheetId="4" r:id="rId4"/>
    <sheet name="LISTAS" sheetId="5" r:id="rId5"/>
  </sheets>
  <definedNames>
    <definedName name="_xleta.T" hidden="1" xlm="1">#NAME?</definedName>
    <definedName name="CUOTAS">Tabla5[Cuotas]</definedName>
    <definedName name="MODALIDAD">Tabla4[Modalidad]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11" i="2" l="1"/>
  <c r="C7" i="3"/>
  <c r="J7" i="3"/>
  <c r="K7" i="3"/>
  <c r="C8" i="3"/>
  <c r="J8" i="3"/>
  <c r="K8" i="3"/>
  <c r="C9" i="3"/>
  <c r="J9" i="3"/>
  <c r="K9" i="3" s="1"/>
  <c r="C10" i="3"/>
  <c r="I10" i="3"/>
  <c r="J10" i="3"/>
  <c r="K10" i="3"/>
  <c r="C11" i="3"/>
  <c r="J11" i="3"/>
  <c r="K11" i="3"/>
  <c r="C12" i="3"/>
  <c r="J12" i="3"/>
  <c r="K12" i="3"/>
  <c r="C6" i="3"/>
  <c r="J6" i="3"/>
  <c r="K6" i="3"/>
  <c r="M7" i="4"/>
  <c r="E7" i="4"/>
  <c r="E6" i="4"/>
  <c r="M6" i="4"/>
  <c r="E31" i="2" a="1"/>
  <c r="F21" i="2"/>
  <c r="F23" i="2" s="1"/>
  <c r="C1" i="3"/>
  <c r="I7" i="3" l="1"/>
  <c r="I8" i="3"/>
  <c r="I9" i="3"/>
  <c r="I11" i="3"/>
  <c r="I12" i="3"/>
  <c r="I6" i="3"/>
  <c r="J6" i="4" l="1"/>
  <c r="J7" i="4"/>
  <c r="L6" i="4" l="1"/>
  <c r="K6" i="4"/>
  <c r="L7" i="4"/>
  <c r="K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<sst xmlns="http://schemas.openxmlformats.org/spreadsheetml/2006/main" count="83" uniqueCount="55">
  <si>
    <t>CÓDIGO</t>
  </si>
  <si>
    <t>NOMBRE Y APELLIDO</t>
  </si>
  <si>
    <t>DNI</t>
  </si>
  <si>
    <t>TELEFONO</t>
  </si>
  <si>
    <t>DIRECCIÓN</t>
  </si>
  <si>
    <t>CLIENTE</t>
  </si>
  <si>
    <t>MODALIDAD</t>
  </si>
  <si>
    <t>FECHA VENCIMIENTO</t>
  </si>
  <si>
    <t>IMPORTE CUOTA</t>
  </si>
  <si>
    <t>FECHA PAGO</t>
  </si>
  <si>
    <t>ESTADO</t>
  </si>
  <si>
    <t>MORA</t>
  </si>
  <si>
    <t>ALERTA</t>
  </si>
  <si>
    <t>CÓDIGO PRESTAMO</t>
  </si>
  <si>
    <t>COD CLIENTE</t>
  </si>
  <si>
    <t>COD PRESTAMO</t>
  </si>
  <si>
    <t>COD_CLIE</t>
  </si>
  <si>
    <t>FECHA DE CRÉDITO</t>
  </si>
  <si>
    <t>IMPORTE DEL CRÉDITO</t>
  </si>
  <si>
    <t>MONTO PAGADO</t>
  </si>
  <si>
    <t>GANANCIA</t>
  </si>
  <si>
    <t>DEUDA</t>
  </si>
  <si>
    <t>CUOTAS RESTANTES</t>
  </si>
  <si>
    <t>CLIENTES</t>
  </si>
  <si>
    <t>IMPORTE DE CRÉDITO</t>
  </si>
  <si>
    <t>TASA DE INTERES</t>
  </si>
  <si>
    <t>N° DE CUOTAS</t>
  </si>
  <si>
    <t>IMPORTE DE LA CUOTA</t>
  </si>
  <si>
    <t>TOTAL A PAGAR</t>
  </si>
  <si>
    <t>FECHA</t>
  </si>
  <si>
    <t>Cli_001</t>
  </si>
  <si>
    <t>Cli_002</t>
  </si>
  <si>
    <t>Cli_003</t>
  </si>
  <si>
    <t>Luís Vela Iberico</t>
  </si>
  <si>
    <t>Liz Ríos Sanchez</t>
  </si>
  <si>
    <t>María Palomino</t>
  </si>
  <si>
    <t>…</t>
  </si>
  <si>
    <t>Modalidad</t>
  </si>
  <si>
    <t>Diario</t>
  </si>
  <si>
    <t>Quincenal</t>
  </si>
  <si>
    <t>Mensual</t>
  </si>
  <si>
    <t>Anual</t>
  </si>
  <si>
    <t>Cuotas</t>
  </si>
  <si>
    <t>Buscar por Nombre:</t>
  </si>
  <si>
    <t>Búsqueda por Cliente:</t>
  </si>
  <si>
    <t>Búsqueda por Modalidad:</t>
  </si>
  <si>
    <t>Búsqueda por Cliente</t>
  </si>
  <si>
    <t>CUOTAS</t>
  </si>
  <si>
    <t>cuota - 3</t>
  </si>
  <si>
    <t>cuota - 2</t>
  </si>
  <si>
    <t>cuota - 1</t>
  </si>
  <si>
    <t>cuota - 4</t>
  </si>
  <si>
    <t>CÓDIGO CLIENTE</t>
  </si>
  <si>
    <t>LISTAS AUXILIARES</t>
  </si>
  <si>
    <t>ESTADO DEL PRÉSTAMO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</si>
</sst>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\ #,##0.00;\-&quot;$&quot;\ #,##0.00"/>
    <numFmt numFmtId="44" formatCode="_-&quot;$&quot;\ * #,##0.00_-;\-&quot;$&quot;\ * #,##0.00_-;_-&quot;$&quot;\ * &quot;-&quot;??_-;_-@_-"/>
    <numFmt numFmtId="164" formatCode="dd/mm/yyyy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4"/>
      <color rgb="FF00000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ECAD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ECAD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CC4DC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rgb="FFFD87A9"/>
      </bottom>
      <diagonal/>
    </border>
    <border>
      <left/>
      <right style="thin">
        <color rgb="FFFD87A9"/>
      </right>
      <top/>
      <bottom/>
      <diagonal/>
    </border>
    <border>
      <left style="thin">
        <color rgb="FFFD87A9"/>
      </left>
      <right style="thin">
        <color rgb="FFFD87A9"/>
      </right>
      <top style="thin">
        <color rgb="FFFD87A9"/>
      </top>
      <bottom style="thin">
        <color rgb="FFFD87A9"/>
      </bottom>
      <diagonal/>
    </border>
    <border>
      <left/>
      <right/>
      <top style="thin">
        <color rgb="FFFD87A9"/>
      </top>
      <bottom style="thin">
        <color rgb="FFFD87A9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34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3" borderId="0" xfId="0" applyFill="1"/>
    <xf numFmtId="0" fontId="2" fillId="5" borderId="0" xfId="0" applyFont="1" applyFill="1"/>
    <xf numFmtId="0" fontId="2" fillId="5" borderId="2" xfId="0" applyFont="1" applyFill="1" applyBorder="1"/>
    <xf numFmtId="0" fontId="3" fillId="5" borderId="4" xfId="0" applyFont="1" applyFill="1" applyBorder="1" applyAlignment="1">
      <alignment horizontal="left" indent="2"/>
    </xf>
    <xf numFmtId="0" fontId="4" fillId="5" borderId="2" xfId="0" applyFont="1" applyFill="1" applyBorder="1"/>
    <xf numFmtId="0" fontId="3" fillId="3" borderId="3" xfId="0" applyFont="1" applyFill="1" applyBorder="1" applyAlignment="1">
      <alignment horizontal="left" indent="2"/>
    </xf>
    <xf numFmtId="44" fontId="3" fillId="3" borderId="3" xfId="0" applyNumberFormat="1" applyFont="1" applyFill="1" applyBorder="1" applyAlignment="1">
      <alignment horizontal="left" indent="2"/>
    </xf>
    <xf numFmtId="10" fontId="3" fillId="3" borderId="3" xfId="0" applyNumberFormat="1" applyFont="1" applyFill="1" applyBorder="1" applyAlignment="1">
      <alignment horizontal="left" indent="2"/>
    </xf>
    <xf numFmtId="164" fontId="3" fillId="3" borderId="3" xfId="0" applyNumberFormat="1" applyFont="1" applyFill="1" applyBorder="1" applyAlignment="1">
      <alignment horizontal="left" indent="2"/>
    </xf>
    <xf numFmtId="0" fontId="6" fillId="6" borderId="3" xfId="0" applyFont="1" applyFill="1" applyBorder="1" applyAlignment="1">
      <alignment horizontal="left" indent="2"/>
    </xf>
    <xf numFmtId="44" fontId="3" fillId="6" borderId="3" xfId="0" applyNumberFormat="1" applyFont="1" applyFill="1" applyBorder="1" applyAlignment="1">
      <alignment horizontal="left" indent="2"/>
    </xf>
    <xf numFmtId="0" fontId="0" fillId="0" borderId="5" xfId="0" applyBorder="1"/>
    <xf numFmtId="14" fontId="0" fillId="0" borderId="5" xfId="0" applyNumberFormat="1" applyBorder="1"/>
    <xf numFmtId="14" fontId="0" fillId="0" borderId="0" xfId="0" applyNumberFormat="1"/>
    <xf numFmtId="7" fontId="0" fillId="0" borderId="0" xfId="0" applyNumberFormat="1"/>
    <xf numFmtId="9" fontId="0" fillId="2" borderId="0" xfId="1" applyFont="1" applyFill="1"/>
    <xf numFmtId="9" fontId="0" fillId="0" borderId="0" xfId="1" applyFont="1"/>
    <xf numFmtId="14" fontId="1" fillId="2" borderId="0" xfId="0" applyNumberFormat="1" applyFont="1" applyFill="1" applyAlignment="1">
      <alignment horizontal="center" vertical="center"/>
    </xf>
    <xf numFmtId="44" fontId="0" fillId="0" borderId="0" xfId="0" applyNumberFormat="1"/>
    <xf numFmtId="0" fontId="7" fillId="5" borderId="0" xfId="0" applyFont="1" applyFill="1"/>
    <xf numFmtId="0" fontId="3" fillId="5" borderId="1" xfId="0" applyFont="1" applyFill="1" applyBorder="1"/>
    <xf numFmtId="0" fontId="8" fillId="8" borderId="0" xfId="0" applyFont="1" applyFill="1" applyAlignment="1">
      <alignment horizontal="center"/>
    </xf>
    <xf numFmtId="0" fontId="9" fillId="8" borderId="0" xfId="0" applyFont="1" applyFill="1" applyAlignment="1">
      <alignment horizontal="center"/>
    </xf>
    <xf numFmtId="0" fontId="10" fillId="9" borderId="0" xfId="0" applyFont="1" applyFill="1"/>
    <xf numFmtId="0" fontId="11" fillId="0" borderId="3" xfId="0" applyFont="1" applyBorder="1" applyAlignment="1">
      <alignment horizontal="left" indent="2"/>
    </xf>
    <xf numFmtId="0" fontId="1" fillId="7" borderId="0" xfId="0" applyFont="1" applyFill="1"/>
    <xf numFmtId="0" fontId="1" fillId="2" borderId="0" xfId="0" applyFont="1" applyFill="1" applyAlignment="1">
      <alignment horizontal="left" vertical="center"/>
    </xf>
    <xf numFmtId="0" fontId="3" fillId="7" borderId="0" xfId="0" applyFont="1" applyFill="1" applyAlignment="1">
      <alignment horizontal="center" vertical="center"/>
    </xf>
  </cellXfs>
  <cellStyles count="2">
    <cellStyle name="Normal" xfId="0" builtinId="0"/>
    <cellStyle name="Porcentaje" xfId="1" builtinId="5"/>
  </cellStyles>
  <dxfs count="10">
    <dxf>
      <font>
        <b/>
        <color rgb="FF000000"/>
      </font>
      <fill>
        <patternFill patternType="solid">
          <fgColor indexed="64"/>
          <bgColor rgb="FFD9EAF7"/>
        </patternFill>
      </fill>
    </dxf>
    <dxf>
      <font>
        <b/>
        <color rgb="FF000000"/>
      </font>
      <fill>
        <patternFill patternType="solid">
          <fgColor indexed="64"/>
          <bgColor rgb="FFD9EAF7"/>
        </patternFill>
      </fill>
    </dxf>
    <dxf>
      <numFmt numFmtId="0" formatCode="General"/>
    </dxf>
    <dxf>
      <numFmt numFmtId="11" formatCode="&quot;$&quot;\ #,##0.00;\-&quot;$&quot;\ #,##0.00"/>
    </dxf>
    <dxf>
      <numFmt numFmtId="34" formatCode="_-&quot;$&quot;\ * #,##0.00_-;\-&quot;$&quot;\ * #,##0.00_-;_-&quot;$&quot;\ 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CC4DC"/>
      <color rgb="FFFECAD5"/>
      <color rgb="FFFDD3E5"/>
      <color rgb="FFF86C97"/>
      <color rgb="FFFD87A9"/>
      <color rgb="FF7B6C0F"/>
      <color rgb="FFFECADD"/>
      <color rgb="FFFFFFFF"/>
      <color rgb="FFB3052A"/>
      <color rgb="FFC80A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CALCULADORA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hyperlink" Target="#CLIENTE!A1"/><Relationship Id="rId5" Type="http://schemas.openxmlformats.org/officeDocument/2006/relationships/hyperlink" Target="#ESTADO!A1"/><Relationship Id="rId4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CALCULADORA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CALCULADORA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</xdr:row>
          <xdr:rowOff>9525</xdr:rowOff>
        </xdr:from>
        <xdr:to>
          <xdr:col>3</xdr:col>
          <xdr:colOff>1028700</xdr:colOff>
          <xdr:row>2</xdr:row>
          <xdr:rowOff>19050</xdr:rowOff>
        </xdr:to>
        <xdr:sp macro="" textlink="">
          <xdr:nvSpPr>
            <xdr:cNvPr id="1026" name="Text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142875</xdr:colOff>
      <xdr:row>1</xdr:row>
      <xdr:rowOff>142875</xdr:rowOff>
    </xdr:from>
    <xdr:to>
      <xdr:col>5</xdr:col>
      <xdr:colOff>1283576</xdr:colOff>
      <xdr:row>2</xdr:row>
      <xdr:rowOff>69959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783381-7ECF-403B-B957-AB8F944D9420}"/>
            </a:ext>
          </a:extLst>
        </xdr:cNvPr>
        <xdr:cNvSpPr/>
      </xdr:nvSpPr>
      <xdr:spPr>
        <a:xfrm>
          <a:off x="6496050" y="476250"/>
          <a:ext cx="1140701" cy="298559"/>
        </a:xfrm>
        <a:prstGeom prst="roundRect">
          <a:avLst/>
        </a:prstGeom>
        <a:solidFill>
          <a:srgbClr val="F86C97"/>
        </a:solidFill>
        <a:ln>
          <a:solidFill>
            <a:srgbClr val="F86C9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/>
            <a:t>CALCULADORA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57149</xdr:colOff>
      <xdr:row>10</xdr:row>
      <xdr:rowOff>8046</xdr:rowOff>
    </xdr:from>
    <xdr:to>
      <xdr:col>8</xdr:col>
      <xdr:colOff>295274</xdr:colOff>
      <xdr:row>16</xdr:row>
      <xdr:rowOff>6995</xdr:rowOff>
    </xdr:to>
    <xdr:pic macro="[0]!Llamar_Formulario_Buscar">
      <xdr:nvPicPr>
        <xdr:cNvPr id="5" name="Imagen 4">
          <a:extLst>
            <a:ext uri="{FF2B5EF4-FFF2-40B4-BE49-F238E27FC236}">
              <a16:creationId xmlns:a16="http://schemas.microsoft.com/office/drawing/2014/main" id="{4486C18F-C5D9-8F9E-18ED-194AE2EB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4" y="1179621"/>
          <a:ext cx="1000125" cy="999074"/>
        </a:xfrm>
        <a:prstGeom prst="rect">
          <a:avLst/>
        </a:prstGeom>
      </xdr:spPr>
    </xdr:pic>
    <xdr:clientData/>
  </xdr:twoCellAnchor>
  <xdr:twoCellAnchor editAs="oneCell">
    <xdr:from>
      <xdr:col>6</xdr:col>
      <xdr:colOff>76201</xdr:colOff>
      <xdr:row>23</xdr:row>
      <xdr:rowOff>30675</xdr:rowOff>
    </xdr:from>
    <xdr:to>
      <xdr:col>6</xdr:col>
      <xdr:colOff>381000</xdr:colOff>
      <xdr:row>25</xdr:row>
      <xdr:rowOff>2906</xdr:rowOff>
    </xdr:to>
    <xdr:pic macro="[0]!InsertarFechaActual">
      <xdr:nvPicPr>
        <xdr:cNvPr id="7" name="Gráfico 6" descr="Daily calendar con relleno sólido">
          <a:extLst>
            <a:ext uri="{FF2B5EF4-FFF2-40B4-BE49-F238E27FC236}">
              <a16:creationId xmlns:a16="http://schemas.microsoft.com/office/drawing/2014/main" id="{4063A500-A6DC-D8B4-D8FD-89385FC20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324887" y="3905251"/>
          <a:ext cx="304799" cy="311256"/>
        </a:xfrm>
        <a:prstGeom prst="rect">
          <a:avLst/>
        </a:prstGeom>
      </xdr:spPr>
    </xdr:pic>
    <xdr:clientData/>
  </xdr:twoCellAnchor>
  <xdr:twoCellAnchor>
    <xdr:from>
      <xdr:col>5</xdr:col>
      <xdr:colOff>9526</xdr:colOff>
      <xdr:row>25</xdr:row>
      <xdr:rowOff>114300</xdr:rowOff>
    </xdr:from>
    <xdr:to>
      <xdr:col>5</xdr:col>
      <xdr:colOff>809626</xdr:colOff>
      <xdr:row>26</xdr:row>
      <xdr:rowOff>180975</xdr:rowOff>
    </xdr:to>
    <xdr:sp macro="[0]!CALCULADORA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8F8700C4-B329-9E3D-4BEE-FAF9BE60CFF9}"/>
            </a:ext>
          </a:extLst>
        </xdr:cNvPr>
        <xdr:cNvSpPr/>
      </xdr:nvSpPr>
      <xdr:spPr>
        <a:xfrm>
          <a:off x="4619626" y="3905250"/>
          <a:ext cx="800100" cy="257175"/>
        </a:xfrm>
        <a:prstGeom prst="roundRect">
          <a:avLst/>
        </a:prstGeom>
        <a:solidFill>
          <a:srgbClr val="F86C97"/>
        </a:solidFill>
        <a:ln>
          <a:solidFill>
            <a:srgbClr val="F86C9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>
              <a:solidFill>
                <a:schemeClr val="bg1"/>
              </a:solidFill>
            </a:rPr>
            <a:t>GRABAR</a:t>
          </a:r>
        </a:p>
      </xdr:txBody>
    </xdr:sp>
    <xdr:clientData/>
  </xdr:twoCellAnchor>
  <xdr:twoCellAnchor>
    <xdr:from>
      <xdr:col>5</xdr:col>
      <xdr:colOff>895350</xdr:colOff>
      <xdr:row>25</xdr:row>
      <xdr:rowOff>114300</xdr:rowOff>
    </xdr:from>
    <xdr:to>
      <xdr:col>5</xdr:col>
      <xdr:colOff>1685925</xdr:colOff>
      <xdr:row>26</xdr:row>
      <xdr:rowOff>180975</xdr:rowOff>
    </xdr:to>
    <xdr:sp macro="[0]!LimpiarDatos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6A577260-8959-4C88-A96C-D37DFA957057}"/>
            </a:ext>
          </a:extLst>
        </xdr:cNvPr>
        <xdr:cNvSpPr/>
      </xdr:nvSpPr>
      <xdr:spPr>
        <a:xfrm>
          <a:off x="5505450" y="3905250"/>
          <a:ext cx="790575" cy="257175"/>
        </a:xfrm>
        <a:prstGeom prst="roundRect">
          <a:avLst/>
        </a:prstGeom>
        <a:solidFill>
          <a:srgbClr val="F86C97"/>
        </a:solidFill>
        <a:ln>
          <a:solidFill>
            <a:srgbClr val="F86C9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/>
            <a:t>LIMPIAR</a:t>
          </a:r>
        </a:p>
      </xdr:txBody>
    </xdr:sp>
    <xdr:clientData/>
  </xdr:twoCellAnchor>
  <xdr:twoCellAnchor>
    <xdr:from>
      <xdr:col>6</xdr:col>
      <xdr:colOff>733536</xdr:colOff>
      <xdr:row>22</xdr:row>
      <xdr:rowOff>57150</xdr:rowOff>
    </xdr:from>
    <xdr:to>
      <xdr:col>8</xdr:col>
      <xdr:colOff>361951</xdr:colOff>
      <xdr:row>24</xdr:row>
      <xdr:rowOff>9525</xdr:rowOff>
    </xdr:to>
    <xdr:sp macro="" textlink="">
      <xdr:nvSpPr>
        <xdr:cNvPr id="10" name="Rectángulo: esquinas redondeadas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94A4306-A85F-4867-9197-9314C0168DD2}"/>
            </a:ext>
          </a:extLst>
        </xdr:cNvPr>
        <xdr:cNvSpPr/>
      </xdr:nvSpPr>
      <xdr:spPr>
        <a:xfrm>
          <a:off x="8003191" y="3243098"/>
          <a:ext cx="1161174" cy="291772"/>
        </a:xfrm>
        <a:prstGeom prst="roundRect">
          <a:avLst/>
        </a:prstGeom>
        <a:solidFill>
          <a:srgbClr val="F86C97"/>
        </a:solidFill>
        <a:ln>
          <a:solidFill>
            <a:srgbClr val="F86C9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/>
            <a:t>RESUMEN</a:t>
          </a:r>
        </a:p>
      </xdr:txBody>
    </xdr:sp>
    <xdr:clientData/>
  </xdr:twoCellAnchor>
  <xdr:twoCellAnchor>
    <xdr:from>
      <xdr:col>6</xdr:col>
      <xdr:colOff>744484</xdr:colOff>
      <xdr:row>20</xdr:row>
      <xdr:rowOff>0</xdr:rowOff>
    </xdr:from>
    <xdr:to>
      <xdr:col>8</xdr:col>
      <xdr:colOff>361951</xdr:colOff>
      <xdr:row>21</xdr:row>
      <xdr:rowOff>57150</xdr:rowOff>
    </xdr:to>
    <xdr:sp macro="" textlink="">
      <xdr:nvSpPr>
        <xdr:cNvPr id="11" name="Rectángulo: esquinas redondeada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3CF2806-0947-4151-BF3C-4C90C452B1CC}"/>
            </a:ext>
          </a:extLst>
        </xdr:cNvPr>
        <xdr:cNvSpPr/>
      </xdr:nvSpPr>
      <xdr:spPr>
        <a:xfrm>
          <a:off x="8014139" y="2846552"/>
          <a:ext cx="1150226" cy="298012"/>
        </a:xfrm>
        <a:prstGeom prst="roundRect">
          <a:avLst/>
        </a:prstGeom>
        <a:solidFill>
          <a:srgbClr val="F86C97"/>
        </a:solidFill>
        <a:ln>
          <a:solidFill>
            <a:srgbClr val="F86C9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/>
            <a:t>ESTADO</a:t>
          </a:r>
        </a:p>
      </xdr:txBody>
    </xdr:sp>
    <xdr:clientData/>
  </xdr:twoCellAnchor>
  <xdr:twoCellAnchor>
    <xdr:from>
      <xdr:col>6</xdr:col>
      <xdr:colOff>744483</xdr:colOff>
      <xdr:row>17</xdr:row>
      <xdr:rowOff>28575</xdr:rowOff>
    </xdr:from>
    <xdr:to>
      <xdr:col>8</xdr:col>
      <xdr:colOff>352425</xdr:colOff>
      <xdr:row>18</xdr:row>
      <xdr:rowOff>228600</xdr:rowOff>
    </xdr:to>
    <xdr:sp macro="" textlink="">
      <xdr:nvSpPr>
        <xdr:cNvPr id="12" name="Rectángulo: esquinas redondeadas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9D2B0B3-AC71-4699-8044-AF66111A17C5}"/>
            </a:ext>
          </a:extLst>
        </xdr:cNvPr>
        <xdr:cNvSpPr/>
      </xdr:nvSpPr>
      <xdr:spPr>
        <a:xfrm>
          <a:off x="8014138" y="2437196"/>
          <a:ext cx="1140701" cy="298559"/>
        </a:xfrm>
        <a:prstGeom prst="roundRect">
          <a:avLst/>
        </a:prstGeom>
        <a:solidFill>
          <a:srgbClr val="F86C97"/>
        </a:solidFill>
        <a:ln>
          <a:solidFill>
            <a:srgbClr val="F86C9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/>
            <a:t>CLIENTE</a:t>
          </a:r>
        </a:p>
      </xdr:txBody>
    </xdr:sp>
    <xdr:clientData/>
  </xdr:twoCellAnchor>
  <xdr:twoCellAnchor>
    <xdr:from>
      <xdr:col>2</xdr:col>
      <xdr:colOff>733534</xdr:colOff>
      <xdr:row>6</xdr:row>
      <xdr:rowOff>32845</xdr:rowOff>
    </xdr:from>
    <xdr:to>
      <xdr:col>9</xdr:col>
      <xdr:colOff>10948</xdr:colOff>
      <xdr:row>28</xdr:row>
      <xdr:rowOff>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CA727F35-5BAC-1157-A73A-2C7372AF0426}"/>
            </a:ext>
          </a:extLst>
        </xdr:cNvPr>
        <xdr:cNvSpPr/>
      </xdr:nvSpPr>
      <xdr:spPr>
        <a:xfrm>
          <a:off x="2266293" y="558362"/>
          <a:ext cx="7269655" cy="3766207"/>
        </a:xfrm>
        <a:prstGeom prst="roundRect">
          <a:avLst>
            <a:gd name="adj" fmla="val 3326"/>
          </a:avLst>
        </a:prstGeom>
        <a:noFill/>
        <a:ln w="101600">
          <a:solidFill>
            <a:srgbClr val="F86C9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2057400</xdr:colOff>
          <xdr:row>3</xdr:row>
          <xdr:rowOff>47625</xdr:rowOff>
        </xdr:to>
        <xdr:sp macro="" textlink="">
          <xdr:nvSpPr>
            <xdr:cNvPr id="4097" name="TextBox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0</xdr:rowOff>
        </xdr:from>
        <xdr:to>
          <xdr:col>4</xdr:col>
          <xdr:colOff>276225</xdr:colOff>
          <xdr:row>3</xdr:row>
          <xdr:rowOff>66675</xdr:rowOff>
        </xdr:to>
        <xdr:sp macro="" textlink="">
          <xdr:nvSpPr>
            <xdr:cNvPr id="4098" name="TextBox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142875</xdr:colOff>
      <xdr:row>1</xdr:row>
      <xdr:rowOff>180975</xdr:rowOff>
    </xdr:from>
    <xdr:to>
      <xdr:col>10</xdr:col>
      <xdr:colOff>1283576</xdr:colOff>
      <xdr:row>3</xdr:row>
      <xdr:rowOff>98534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68799A-B053-41FA-A3A5-43568966A1FE}"/>
            </a:ext>
          </a:extLst>
        </xdr:cNvPr>
        <xdr:cNvSpPr/>
      </xdr:nvSpPr>
      <xdr:spPr>
        <a:xfrm>
          <a:off x="12430125" y="609600"/>
          <a:ext cx="1140701" cy="298559"/>
        </a:xfrm>
        <a:prstGeom prst="roundRect">
          <a:avLst/>
        </a:prstGeom>
        <a:solidFill>
          <a:srgbClr val="F86C97"/>
        </a:solidFill>
        <a:ln>
          <a:solidFill>
            <a:srgbClr val="F86C9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/>
            <a:t>CALCULADORA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1495425</xdr:colOff>
          <xdr:row>3</xdr:row>
          <xdr:rowOff>19050</xdr:rowOff>
        </xdr:to>
        <xdr:sp macro="" textlink="">
          <xdr:nvSpPr>
            <xdr:cNvPr id="2049" name="TextBox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152400</xdr:colOff>
      <xdr:row>1</xdr:row>
      <xdr:rowOff>161925</xdr:rowOff>
    </xdr:from>
    <xdr:to>
      <xdr:col>12</xdr:col>
      <xdr:colOff>1293101</xdr:colOff>
      <xdr:row>3</xdr:row>
      <xdr:rowOff>79484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023831-AFF9-49F6-BB84-CD88F16DB1CB}"/>
            </a:ext>
          </a:extLst>
        </xdr:cNvPr>
        <xdr:cNvSpPr/>
      </xdr:nvSpPr>
      <xdr:spPr>
        <a:xfrm>
          <a:off x="12706350" y="590550"/>
          <a:ext cx="1140701" cy="298559"/>
        </a:xfrm>
        <a:prstGeom prst="roundRect">
          <a:avLst/>
        </a:prstGeom>
        <a:solidFill>
          <a:srgbClr val="F86C97"/>
        </a:solidFill>
        <a:ln>
          <a:solidFill>
            <a:srgbClr val="F86C9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/>
            <a:t>CALCULADORA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F7D38E-6A35-4281-B407-283613E2E612}" name="T_CLIENTES" displayName="T_CLIENTES" ref="B4:F7" totalsRowShown="0">
  <autoFilter ref="B4:F7" xr:uid="{9BF7D38E-6A35-4281-B407-283613E2E612}">
    <filterColumn colId="1">
      <customFilters>
        <customFilter val="**"/>
      </customFilters>
    </filterColumn>
  </autoFilter>
  <tableColumns count="5">
    <tableColumn id="1" xr3:uid="{EA9CD807-012F-4CB9-ABFB-B773C298852C}" name="CÓDIGO"/>
    <tableColumn id="2" xr3:uid="{374BDE53-07B2-44DF-A0B7-BDE1FF97D2E6}" name="NOMBRE Y APELLIDO"/>
    <tableColumn id="3" xr3:uid="{701B12ED-21B0-48D5-8844-987700900D2C}" name="DNI"/>
    <tableColumn id="4" xr3:uid="{9E3891AD-F2BE-4A2C-8993-B4B90331B454}" name="DIRECCIÓN"/>
    <tableColumn id="5" xr3:uid="{0DADDBE0-23F6-4477-ACE2-CE3A6C44BB0B}" name="TELEFO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9EB0FC-69E3-4E16-9495-8F0AB57E280B}" name="T_ESTADO" displayName="T_ESTADO" ref="B5:L12" totalsRowShown="0">
  <autoFilter ref="B5:L12" xr:uid="{1C9EB0FC-69E3-4E16-9495-8F0AB57E280B}">
    <filterColumn colId="1">
      <customFilters>
        <customFilter val="**"/>
      </customFilters>
    </filterColumn>
    <filterColumn colId="2">
      <customFilters>
        <customFilter val="**"/>
      </customFilters>
    </filterColumn>
  </autoFilter>
  <tableColumns count="11">
    <tableColumn id="1" xr3:uid="{DD56093B-0EB7-40ED-ADD2-F2836545BB35}" name="COD CLIENTE"/>
    <tableColumn id="2" xr3:uid="{CCCF03F2-2AC1-424B-A4E7-118485D4B235}" name="CLIENTE" dataDxfId="8">
      <calculatedColumnFormula>VLOOKUP(T_ESTADO[[#This Row],[COD CLIENTE]],T_CLIENTES[],2,FALSE)</calculatedColumnFormula>
    </tableColumn>
    <tableColumn id="3" xr3:uid="{9DDFCF4D-6BAE-4AB3-8DC6-D63870E11314}" name="MODALIDAD"/>
    <tableColumn id="12" xr3:uid="{7919BC28-1771-4F28-8167-F550918A6D5A}" name="CUOTAS"/>
    <tableColumn id="4" xr3:uid="{1D856122-892B-4810-AFFE-164FD4D509FE}" name="FECHA VENCIMIENTO"/>
    <tableColumn id="5" xr3:uid="{8F88BA43-52DB-45F9-A3D0-106DABB17BFB}" name="IMPORTE CUOTA"/>
    <tableColumn id="6" xr3:uid="{90740494-4758-44F2-AE31-45011AFA1D65}" name="FECHA PAGO"/>
    <tableColumn id="7" xr3:uid="{96E51C5F-AEC2-43A4-A577-314AEFCEF488}" name="ESTADO" dataDxfId="7">
      <calculatedColumnFormula>IF(ISNUMBER(T_ESTADO[[#This Row],[FECHA PAGO]]),"PAGADO",IF(T_ESTADO[[#This Row],[FECHA VENCIMIENTO]]&gt;$C$1,"PENDIENTE",IF(T_ESTADO[[#This Row],[FECHA VENCIMIENTO]]&lt;$C$1,"VENCIDO","")))</calculatedColumnFormula>
    </tableColumn>
    <tableColumn id="8" xr3:uid="{2434FC4F-B0A5-44C1-99B1-F2759ECC3D6A}" name="MORA" dataDxfId="6">
      <calculatedColumnFormula>IF(T_ESTADO[[#This Row],[FECHA PAGO]]&gt;T_ESTADO[[#This Row],[FECHA VENCIMIENTO]],T_ESTADO[[#This Row],[FECHA VENCIMIENTO]]-T_ESTADO[[#This Row],[FECHA PAGO]],"0")</calculatedColumnFormula>
    </tableColumn>
    <tableColumn id="9" xr3:uid="{5B892C90-6FF5-433B-B31C-3C6CA58A65AB}" name="ALERTA" dataDxfId="5">
      <calculatedColumnFormula>IF(T_ESTADO[[#This Row],[MORA]]&lt;0,"RETRAZO","")</calculatedColumnFormula>
    </tableColumn>
    <tableColumn id="10" xr3:uid="{88883505-324C-487B-B00E-51E68427FAAD}" name="CÓDIGO PRESTAM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AFA35C-B6F2-42FB-B8D8-1822A02E0405}" name="T_RESUMEN" displayName="T_RESUMEN" ref="C5:M7" totalsRowShown="0">
  <autoFilter ref="C5:M7" xr:uid="{43AFA35C-B6F2-42FB-B8D8-1822A02E0405}">
    <filterColumn colId="2">
      <customFilters>
        <customFilter val="**"/>
      </customFilters>
    </filterColumn>
  </autoFilter>
  <tableColumns count="11">
    <tableColumn id="1" xr3:uid="{2E356F6A-CFFD-400A-8C55-8A06EEEB8D49}" name="COD PRESTAMO"/>
    <tableColumn id="2" xr3:uid="{963AFA8C-D4BB-4AAC-8BE7-2CFADFF67502}" name="COD_CLIE"/>
    <tableColumn id="3" xr3:uid="{D3B2D603-C2C7-45EB-89B9-1C1C9BE885EE}" name="CLIENTE">
      <calculatedColumnFormula>VLOOKUP(T_RESUMEN[[#This Row],[COD_CLIE]],T_CLIENTES[],2,FALSE)</calculatedColumnFormula>
    </tableColumn>
    <tableColumn id="4" xr3:uid="{58F03FFB-6D2A-4B50-9D84-A8902051282E}" name="FECHA DE CRÉDITO"/>
    <tableColumn id="5" xr3:uid="{7A23FE5F-E79F-485C-A4BB-5999F11E9B9B}" name="IMPORTE DEL CRÉDITO"/>
    <tableColumn id="6" xr3:uid="{074F454B-B2DA-49C9-867C-3827C357181F}" name="MODALIDAD"/>
    <tableColumn id="7" xr3:uid="{E1F83636-0365-463A-B177-CD8E4905103B}" name="TASA DE INTERES" dataCellStyle="Porcentaje"/>
    <tableColumn id="8" xr3:uid="{ED857AC6-D2E4-4441-81A3-FBCBF664891A}" name="MONTO PAGADO">
      <calculatedColumnFormula>SUMIFS(T_ESTADO[IMPORTE CUOTA],T_ESTADO[CÓDIGO PRESTAMO],T_RESUMEN[[#This Row],[COD PRESTAMO]],T_ESTADO[ESTADO],"PAGADO")</calculatedColumnFormula>
    </tableColumn>
    <tableColumn id="9" xr3:uid="{FDD6D5C2-1785-4F16-A54B-43FCE8CCFB72}" name="GANANCIA" dataDxfId="4">
      <calculatedColumnFormula>T_RESUMEN[[#This Row],[MONTO PAGADO]]-T_RESUMEN[[#This Row],[IMPORTE DEL CRÉDITO]]</calculatedColumnFormula>
    </tableColumn>
    <tableColumn id="10" xr3:uid="{760233CE-0C57-4C35-BC8A-495D6F497937}" name="DEUDA" dataDxfId="3">
      <calculatedColumnFormula>((T_RESUMEN[[#This Row],[IMPORTE DEL CRÉDITO]]*T_RESUMEN[[#This Row],[TASA DE INTERES]])+T_RESUMEN[[#This Row],[IMPORTE DEL CRÉDITO]])-T_RESUMEN[[#This Row],[MONTO PAGADO]]</calculatedColumnFormula>
    </tableColumn>
    <tableColumn id="11" xr3:uid="{5B98F2A6-991D-4399-A769-75F8EBCF9032}" name="CUOTAS RESTANTES" dataDxfId="2">
      <calculatedColumnFormula>COUNTIFS(T_ESTADO[CÓDIGO PRESTAMO],T_RESUMEN[[#This Row],[COD PRESTAMO]],T_ESTADO[FECHA PAGO],"")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7EF3529-D223-47B4-95F1-2DF91BCD13AB}" name="Tabla4" displayName="Tabla4" ref="A3:A7" totalsRowShown="0" headerRowDxfId="1">
  <autoFilter ref="A3:A7" xr:uid="{17EF3529-D223-47B4-95F1-2DF91BCD13AB}"/>
  <tableColumns count="1">
    <tableColumn id="1" xr3:uid="{7E6DEA41-70AD-4140-BDD4-9003645A54A5}" name="Modalida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5A85939-602C-497B-AB62-239CD45AFA07}" name="Tabla5" displayName="Tabla5" ref="C3:C15" totalsRowShown="0" headerRowDxfId="0">
  <autoFilter ref="C3:C15" xr:uid="{65A85939-602C-497B-AB62-239CD45AFA07}"/>
  <tableColumns count="1">
    <tableColumn id="1" xr3:uid="{453EA417-DD8D-4792-84F0-434A41EC19D3}" name="Cuota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6.emf"/><Relationship Id="rId5" Type="http://schemas.openxmlformats.org/officeDocument/2006/relationships/control" Target="../activeX/activeX3.xml"/><Relationship Id="rId4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3.xml"/><Relationship Id="rId4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40FD4-66EE-41F4-A2D1-4C3A3C5CD78E}">
  <sheetPr codeName="Hoja1">
    <tabColor theme="5" tint="-0.249977111117893"/>
  </sheetPr>
  <dimension ref="B1:F7"/>
  <sheetViews>
    <sheetView workbookViewId="0">
      <selection activeCell="C16" sqref="C16"/>
    </sheetView>
  </sheetViews>
  <sheetFormatPr baseColWidth="10" defaultRowHeight="15" x14ac:dyDescent="0.25"/>
  <cols>
    <col min="2" max="2" width="10.5703125" customWidth="1"/>
    <col min="3" max="3" width="27" customWidth="1"/>
    <col min="4" max="4" width="15.7109375" customWidth="1"/>
    <col min="5" max="5" width="28.85546875" customWidth="1"/>
    <col min="6" max="6" width="21.28515625" customWidth="1"/>
  </cols>
  <sheetData>
    <row r="1" spans="2:6" ht="26.25" customHeight="1" x14ac:dyDescent="0.25">
      <c r="B1" s="1"/>
      <c r="C1" s="2" t="s">
        <v>43</v>
      </c>
      <c r="D1" s="1"/>
      <c r="E1" s="1"/>
      <c r="F1" s="1"/>
    </row>
    <row r="2" spans="2:6" ht="29.25" customHeight="1" x14ac:dyDescent="0.25">
      <c r="B2" s="1"/>
      <c r="C2" s="1"/>
      <c r="D2" s="1"/>
      <c r="E2" s="1"/>
      <c r="F2" s="1"/>
    </row>
    <row r="3" spans="2:6" x14ac:dyDescent="0.25">
      <c r="B3" s="1"/>
      <c r="C3" s="1"/>
      <c r="D3" s="1"/>
      <c r="E3" s="1"/>
      <c r="F3" s="1"/>
    </row>
    <row r="4" spans="2:6" x14ac:dyDescent="0.25">
      <c r="B4" t="s">
        <v>0</v>
      </c>
      <c r="C4" t="s">
        <v>1</v>
      </c>
      <c r="D4" t="s">
        <v>2</v>
      </c>
      <c r="E4" t="s">
        <v>4</v>
      </c>
      <c r="F4" t="s">
        <v>3</v>
      </c>
    </row>
    <row r="5" spans="2:6" x14ac:dyDescent="0.25">
      <c r="B5" t="s">
        <v>30</v>
      </c>
      <c r="C5" t="s">
        <v>33</v>
      </c>
      <c r="D5">
        <v>12345678</v>
      </c>
      <c r="E5" t="s">
        <v>36</v>
      </c>
      <c r="F5">
        <v>111111</v>
      </c>
    </row>
    <row r="6" spans="2:6" x14ac:dyDescent="0.25">
      <c r="B6" t="s">
        <v>31</v>
      </c>
      <c r="C6" t="s">
        <v>34</v>
      </c>
      <c r="D6">
        <v>32156478</v>
      </c>
      <c r="E6" t="s">
        <v>36</v>
      </c>
      <c r="F6">
        <v>111111</v>
      </c>
    </row>
    <row r="7" spans="2:6" x14ac:dyDescent="0.25">
      <c r="B7" t="s">
        <v>32</v>
      </c>
      <c r="C7" t="s">
        <v>35</v>
      </c>
      <c r="D7">
        <v>25976154</v>
      </c>
      <c r="E7" t="s">
        <v>36</v>
      </c>
      <c r="F7">
        <v>222222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TextBox1">
          <controlPr defaultSize="0" autoLine="0" autoPict="0" r:id="rId4">
            <anchor moveWithCells="1">
              <from>
                <xdr:col>1</xdr:col>
                <xdr:colOff>809625</xdr:colOff>
                <xdr:row>1</xdr:row>
                <xdr:rowOff>9525</xdr:rowOff>
              </from>
              <to>
                <xdr:col>3</xdr:col>
                <xdr:colOff>1028700</xdr:colOff>
                <xdr:row>2</xdr:row>
                <xdr:rowOff>19050</xdr:rowOff>
              </to>
            </anchor>
          </controlPr>
        </control>
      </mc:Choice>
      <mc:Fallback>
        <control shapeId="1026" r:id="rId3" name="TextBox1"/>
      </mc:Fallback>
    </mc:AlternateContent>
  </control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42A08-D96F-4CAC-B3ED-DC0A3463A375}">
  <sheetPr codeName="Hoja2">
    <tabColor theme="6" tint="-0.249977111117893"/>
  </sheetPr>
  <dimension ref="D1:N31"/>
  <sheetViews>
    <sheetView tabSelected="1" topLeftCell="A10" zoomScaleNormal="100" workbookViewId="0">
      <selection activeCell="K23" sqref="K23"/>
    </sheetView>
  </sheetViews>
  <sheetFormatPr baseColWidth="10" defaultRowHeight="15" x14ac:dyDescent="0.25"/>
  <cols>
    <col min="1" max="3" width="11.42578125" style="4"/>
    <col min="4" max="4" width="12.140625" style="4" customWidth="1"/>
    <col min="5" max="5" width="22.7109375" style="4" bestFit="1" customWidth="1"/>
    <col min="6" max="6" width="25.5703125" style="4" customWidth="1"/>
    <col min="7" max="8" width="11.42578125" style="4"/>
    <col min="9" max="9" width="10.85546875" style="4" customWidth="1"/>
    <col min="10" max="11" width="11.42578125" style="4"/>
    <col min="12" max="12" width="12.42578125" style="4" customWidth="1"/>
    <col min="13" max="16384" width="11.42578125" style="4"/>
  </cols>
  <sheetData>
    <row r="1" spans="4:14" ht="9.75" customHeight="1" x14ac:dyDescent="0.25"/>
    <row r="2" spans="4:14" ht="3.75" customHeight="1" x14ac:dyDescent="0.25"/>
    <row r="3" spans="4:14" ht="9.75" customHeight="1" x14ac:dyDescent="0.25"/>
    <row r="4" spans="4:14" ht="5.25" customHeight="1" x14ac:dyDescent="0.25"/>
    <row r="5" spans="4:14" ht="7.5" customHeight="1" x14ac:dyDescent="0.25"/>
    <row r="6" spans="4:14" ht="6" customHeight="1" x14ac:dyDescent="0.25"/>
    <row r="7" spans="4:14" ht="5.25" customHeight="1" x14ac:dyDescent="0.25"/>
    <row r="8" spans="4:14" x14ac:dyDescent="0.25">
      <c r="D8" s="5"/>
      <c r="E8" s="5"/>
      <c r="F8" s="5"/>
      <c r="G8" s="5"/>
      <c r="H8" s="5"/>
      <c r="I8" s="5"/>
      <c r="J8" s="6"/>
    </row>
    <row r="9" spans="4:14" x14ac:dyDescent="0.25">
      <c r="D9" s="5"/>
      <c r="E9" s="5"/>
      <c r="F9" s="5"/>
      <c r="G9" s="5"/>
      <c r="H9" s="5"/>
      <c r="I9" s="5"/>
      <c r="J9" s="6"/>
    </row>
    <row r="10" spans="4:14" ht="18.75" x14ac:dyDescent="0.3">
      <c r="D10" s="5"/>
      <c r="E10" s="25" t="s">
        <v>52</v>
      </c>
      <c r="F10" s="26" t="s">
        <v>30</v>
      </c>
      <c r="G10" s="5"/>
      <c r="H10" s="5"/>
      <c r="I10" s="5"/>
      <c r="J10" s="6"/>
      <c r="L10" s="6"/>
      <c r="M10" s="6"/>
      <c r="N10" s="6"/>
    </row>
    <row r="11" spans="4:14" ht="18.75" x14ac:dyDescent="0.3">
      <c r="D11" s="5"/>
      <c r="E11" s="10" t="s">
        <v>23</v>
      </c>
      <c r="F11" s="30" t="str">
        <f>IFERROR(INDEX(T_CLIENTES[NOMBRE Y APELLIDO],MATCH(F10,T_CLIENTES[CÓDIGO],0)),"")</f>
        <v>Luís Vela Iberico</v>
      </c>
      <c r="G11" s="5"/>
      <c r="H11" s="5"/>
      <c r="I11" s="5"/>
      <c r="J11" s="6"/>
      <c r="L11" s="6"/>
      <c r="M11" s="6"/>
      <c r="N11" s="6"/>
    </row>
    <row r="12" spans="4:14" ht="8.1" customHeight="1" x14ac:dyDescent="0.3">
      <c r="D12" s="5"/>
      <c r="E12" s="7"/>
      <c r="F12" s="9"/>
      <c r="G12" s="5"/>
      <c r="H12" s="5"/>
      <c r="I12" s="5"/>
      <c r="J12" s="6"/>
      <c r="L12" s="6"/>
      <c r="M12" s="6"/>
      <c r="N12" s="6"/>
    </row>
    <row r="13" spans="4:14" ht="18.75" x14ac:dyDescent="0.3">
      <c r="D13" s="5"/>
      <c r="E13" s="8" t="s">
        <v>24</v>
      </c>
      <c r="F13" s="12"/>
      <c r="G13" s="5"/>
      <c r="H13" s="5"/>
      <c r="I13" s="5"/>
      <c r="J13" s="6"/>
      <c r="L13" s="6"/>
      <c r="M13" s="6"/>
      <c r="N13" s="6"/>
    </row>
    <row r="14" spans="4:14" ht="8.1" customHeight="1" x14ac:dyDescent="0.3">
      <c r="D14" s="5"/>
      <c r="E14" s="7"/>
      <c r="F14" s="9"/>
      <c r="G14" s="5"/>
      <c r="H14" s="5"/>
      <c r="I14" s="5"/>
      <c r="J14" s="6"/>
      <c r="L14" s="6"/>
      <c r="M14" s="6"/>
      <c r="N14" s="6"/>
    </row>
    <row r="15" spans="4:14" ht="18.75" x14ac:dyDescent="0.3">
      <c r="D15" s="5"/>
      <c r="E15" s="8" t="s">
        <v>6</v>
      </c>
      <c r="F15" s="11"/>
      <c r="G15" s="5"/>
      <c r="H15" s="5"/>
      <c r="I15" s="5"/>
      <c r="J15" s="6"/>
      <c r="L15" s="6"/>
      <c r="M15" s="6"/>
      <c r="N15" s="6"/>
    </row>
    <row r="16" spans="4:14" ht="8.1" customHeight="1" x14ac:dyDescent="0.3">
      <c r="D16" s="5"/>
      <c r="E16" s="7"/>
      <c r="F16" s="9"/>
      <c r="G16" s="5"/>
      <c r="H16" s="5"/>
      <c r="I16" s="5"/>
      <c r="J16" s="6"/>
      <c r="L16" s="6"/>
      <c r="M16" s="6"/>
      <c r="N16" s="6"/>
    </row>
    <row r="17" spans="4:14" ht="18.75" x14ac:dyDescent="0.3">
      <c r="D17" s="5"/>
      <c r="E17" s="8" t="s">
        <v>25</v>
      </c>
      <c r="F17" s="13"/>
      <c r="G17" s="5"/>
      <c r="H17" s="5"/>
      <c r="I17" s="5"/>
      <c r="J17" s="6"/>
      <c r="L17" s="6"/>
      <c r="M17" s="6"/>
      <c r="N17" s="6"/>
    </row>
    <row r="18" spans="4:14" ht="8.1" customHeight="1" x14ac:dyDescent="0.3">
      <c r="D18" s="5"/>
      <c r="E18" s="7"/>
      <c r="F18" s="9"/>
      <c r="G18" s="5"/>
      <c r="H18" s="5"/>
      <c r="I18" s="5"/>
      <c r="J18" s="6"/>
      <c r="L18" s="6"/>
      <c r="M18" s="6"/>
      <c r="N18" s="6"/>
    </row>
    <row r="19" spans="4:14" ht="18.75" x14ac:dyDescent="0.3">
      <c r="D19" s="5"/>
      <c r="E19" s="8" t="s">
        <v>26</v>
      </c>
      <c r="F19" s="11"/>
      <c r="G19" s="5"/>
      <c r="H19" s="5"/>
      <c r="I19" s="5"/>
      <c r="J19" s="6"/>
      <c r="L19" s="6"/>
      <c r="M19" s="6"/>
      <c r="N19" s="6"/>
    </row>
    <row r="20" spans="4:14" ht="8.1" customHeight="1" x14ac:dyDescent="0.3">
      <c r="D20" s="5"/>
      <c r="E20" s="7"/>
      <c r="F20" s="9"/>
      <c r="G20" s="5"/>
      <c r="H20" s="5"/>
      <c r="I20" s="5"/>
      <c r="J20" s="6"/>
      <c r="L20" s="6"/>
      <c r="M20" s="6"/>
      <c r="N20" s="6"/>
    </row>
    <row r="21" spans="4:14" ht="18.75" x14ac:dyDescent="0.3">
      <c r="D21" s="5"/>
      <c r="E21" s="8" t="s">
        <v>27</v>
      </c>
      <c r="F21" s="15" t="str">
        <f>IFERROR((F13/F19)+(H17/F19),"")</f>
        <v/>
      </c>
      <c r="G21" s="5"/>
      <c r="H21" s="5"/>
      <c r="I21" s="5"/>
      <c r="J21" s="6"/>
      <c r="L21" s="6"/>
      <c r="M21" s="6"/>
      <c r="N21" s="6"/>
    </row>
    <row r="22" spans="4:14" ht="8.1" customHeight="1" x14ac:dyDescent="0.3">
      <c r="D22" s="5"/>
      <c r="E22" s="7"/>
      <c r="F22" s="9"/>
      <c r="G22" s="5"/>
      <c r="H22" s="5"/>
      <c r="I22" s="5"/>
      <c r="J22" s="6"/>
      <c r="L22" s="6"/>
      <c r="M22" s="6"/>
      <c r="N22" s="6"/>
    </row>
    <row r="23" spans="4:14" ht="18.75" x14ac:dyDescent="0.3">
      <c r="D23" s="5"/>
      <c r="E23" s="8" t="s">
        <v>28</v>
      </c>
      <c r="F23" s="16" t="str">
        <f>IFERROR(F19*F21,"")</f>
        <v/>
      </c>
      <c r="G23" s="5"/>
      <c r="H23" s="5"/>
      <c r="I23" s="5"/>
      <c r="J23" s="6"/>
    </row>
    <row r="24" spans="4:14" ht="8.1" customHeight="1" x14ac:dyDescent="0.3">
      <c r="D24" s="5"/>
      <c r="E24" s="7"/>
      <c r="F24" s="9"/>
      <c r="G24" s="5"/>
      <c r="H24" s="5"/>
      <c r="I24" s="5"/>
      <c r="J24" s="6"/>
    </row>
    <row r="25" spans="4:14" ht="18.75" x14ac:dyDescent="0.3">
      <c r="D25" s="5"/>
      <c r="E25" s="8" t="s">
        <v>29</v>
      </c>
      <c r="F25" s="14"/>
      <c r="G25" s="5"/>
      <c r="H25" s="5"/>
      <c r="I25" s="5"/>
      <c r="J25" s="6"/>
    </row>
    <row r="26" spans="4:14" x14ac:dyDescent="0.25">
      <c r="D26" s="5"/>
      <c r="E26" s="5"/>
      <c r="F26" s="5"/>
      <c r="G26" s="5"/>
      <c r="H26" s="5"/>
      <c r="I26" s="5"/>
      <c r="J26" s="6"/>
    </row>
    <row r="27" spans="4:14" x14ac:dyDescent="0.25">
      <c r="D27" s="5"/>
      <c r="E27" s="5"/>
      <c r="F27" s="5"/>
      <c r="G27" s="5"/>
      <c r="H27" s="5"/>
      <c r="I27" s="5"/>
      <c r="J27" s="6"/>
    </row>
    <row r="28" spans="4:14" x14ac:dyDescent="0.25">
      <c r="D28" s="5"/>
      <c r="E28" s="5"/>
      <c r="F28" s="5"/>
      <c r="G28" s="5"/>
      <c r="H28" s="5"/>
      <c r="I28" s="5"/>
      <c r="J28" s="6"/>
    </row>
    <row r="30" spans="4:14" x14ac:dyDescent="0.25">
      <c r="E30" s="31" t="s">
        <v>54</v>
      </c>
    </row>
    <row r="31" spans="4:14" ht="18.75" x14ac:dyDescent="0.25">
      <c r="E31" s="33" cm="1">
        <f t="array" ref="E31">MAX(T_ESTADO[CÓDIGO PRESTAMO]+1)</f>
        <v>3</v>
      </c>
    </row>
  </sheetData>
  <dataValidations count="2">
    <dataValidation type="list" allowBlank="1" showInputMessage="1" showErrorMessage="1" sqref="F15" xr:uid="{4C8E5567-CCDC-443D-83F3-1D8A4C8BB95A}">
      <formula1>MODALIDAD</formula1>
    </dataValidation>
    <dataValidation type="list" allowBlank="1" showInputMessage="1" showErrorMessage="1" sqref="F19" xr:uid="{2486A84A-BC5B-4034-8C1C-54A5C72FADEC}">
      <formula1>CUOTAS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07959-C521-44EE-9A4B-49745339AC18}">
  <sheetPr codeName="Hoja3">
    <tabColor theme="8" tint="-0.249977111117893"/>
  </sheetPr>
  <dimension ref="B1:L12"/>
  <sheetViews>
    <sheetView workbookViewId="0">
      <selection activeCell="C14" sqref="C14"/>
    </sheetView>
  </sheetViews>
  <sheetFormatPr baseColWidth="10" defaultRowHeight="15" x14ac:dyDescent="0.25"/>
  <cols>
    <col min="2" max="2" width="15.5703125" customWidth="1"/>
    <col min="3" max="3" width="31" customWidth="1"/>
    <col min="4" max="4" width="27.28515625" customWidth="1"/>
    <col min="5" max="5" width="22.5703125" customWidth="1"/>
    <col min="6" max="6" width="25.5703125" customWidth="1"/>
    <col min="7" max="7" width="20.85546875" customWidth="1"/>
    <col min="8" max="8" width="19" customWidth="1"/>
    <col min="9" max="9" width="14.7109375" customWidth="1"/>
    <col min="10" max="10" width="14.85546875" customWidth="1"/>
    <col min="11" max="11" width="21.140625" customWidth="1"/>
    <col min="12" max="12" width="24.140625" customWidth="1"/>
  </cols>
  <sheetData>
    <row r="1" spans="2:12" ht="20.25" customHeight="1" x14ac:dyDescent="0.25">
      <c r="B1" s="1"/>
      <c r="C1" s="23">
        <f ca="1">TODAY()</f>
        <v>46225</v>
      </c>
      <c r="D1" s="3"/>
      <c r="E1" s="1"/>
      <c r="F1" s="1"/>
      <c r="G1" s="1"/>
      <c r="H1" s="1"/>
      <c r="I1" s="1"/>
      <c r="J1" s="1"/>
      <c r="K1" s="1"/>
      <c r="L1" s="1"/>
    </row>
    <row r="2" spans="2:12" ht="25.5" customHeight="1" x14ac:dyDescent="0.25">
      <c r="B2" s="1"/>
      <c r="C2" s="3" t="s">
        <v>44</v>
      </c>
      <c r="D2" s="3" t="s">
        <v>45</v>
      </c>
      <c r="E2" s="1"/>
      <c r="F2" s="1"/>
      <c r="G2" s="1"/>
      <c r="H2" s="1"/>
      <c r="I2" s="1"/>
      <c r="J2" s="1"/>
      <c r="K2" s="1"/>
      <c r="L2" s="1"/>
    </row>
    <row r="3" spans="2:12" ht="27" customHeight="1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2:12" ht="19.5" customHeight="1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2:12" x14ac:dyDescent="0.25">
      <c r="B5" t="s">
        <v>14</v>
      </c>
      <c r="C5" t="s">
        <v>5</v>
      </c>
      <c r="D5" t="s">
        <v>6</v>
      </c>
      <c r="E5" t="s">
        <v>47</v>
      </c>
      <c r="F5" t="s">
        <v>7</v>
      </c>
      <c r="G5" t="s">
        <v>8</v>
      </c>
      <c r="H5" t="s">
        <v>9</v>
      </c>
      <c r="I5" t="s">
        <v>10</v>
      </c>
      <c r="J5" t="s">
        <v>11</v>
      </c>
      <c r="K5" t="s">
        <v>12</v>
      </c>
      <c r="L5" t="s">
        <v>13</v>
      </c>
    </row>
    <row r="6" spans="2:12" x14ac:dyDescent="0.25">
      <c r="B6" t="s">
        <v>31</v>
      </c>
      <c r="C6" t="str">
        <f>VLOOKUP(T_ESTADO[[#This Row],[COD CLIENTE]],T_CLIENTES[],2,FALSE)</f>
        <v>Liz Ríos Sanchez</v>
      </c>
      <c r="D6" t="s">
        <v>40</v>
      </c>
      <c r="E6" t="s">
        <v>50</v>
      </c>
      <c r="F6" s="19">
        <v>46255</v>
      </c>
      <c r="G6">
        <v>5000</v>
      </c>
      <c r="I6" t="str">
        <f ca="1">IF(ISNUMBER(T_ESTADO[[#This Row],[FECHA PAGO]]),"PAGADO",IF(T_ESTADO[[#This Row],[FECHA VENCIMIENTO]]&gt;$C$1,"PENDIENTE",IF(T_ESTADO[[#This Row],[FECHA VENCIMIENTO]]&lt;$C$1,"VENCIDO","")))</f>
        <v>PENDIENTE</v>
      </c>
      <c r="J6" t="str">
        <f>IF(T_ESTADO[[#This Row],[FECHA PAGO]]&gt;T_ESTADO[[#This Row],[FECHA VENCIMIENTO]],T_ESTADO[[#This Row],[FECHA VENCIMIENTO]]-T_ESTADO[[#This Row],[FECHA PAGO]],"0")</f>
        <v>0</v>
      </c>
      <c r="K6" t="str">
        <f>IF(T_ESTADO[[#This Row],[MORA]]&lt;0,"RETRAZO","")</f>
        <v/>
      </c>
      <c r="L6">
        <v>2</v>
      </c>
    </row>
    <row r="7" spans="2:12" x14ac:dyDescent="0.25">
      <c r="B7" t="s">
        <v>31</v>
      </c>
      <c r="C7" t="str">
        <f>VLOOKUP(T_ESTADO[[#This Row],[COD CLIENTE]],T_CLIENTES[],2,FALSE)</f>
        <v>Liz Ríos Sanchez</v>
      </c>
      <c r="D7" t="s">
        <v>40</v>
      </c>
      <c r="E7" t="s">
        <v>49</v>
      </c>
      <c r="F7" s="19">
        <v>46286</v>
      </c>
      <c r="G7">
        <v>5000</v>
      </c>
      <c r="I7" t="str">
        <f ca="1">IF(ISNUMBER(T_ESTADO[[#This Row],[FECHA PAGO]]),"PAGADO",IF(T_ESTADO[[#This Row],[FECHA VENCIMIENTO]]&gt;$C$1,"PENDIENTE",IF(T_ESTADO[[#This Row],[FECHA VENCIMIENTO]]&lt;$C$1,"VENCIDO","")))</f>
        <v>PENDIENTE</v>
      </c>
      <c r="J7" t="str">
        <f>IF(T_ESTADO[[#This Row],[FECHA PAGO]]&gt;T_ESTADO[[#This Row],[FECHA VENCIMIENTO]],T_ESTADO[[#This Row],[FECHA VENCIMIENTO]]-T_ESTADO[[#This Row],[FECHA PAGO]],"0")</f>
        <v>0</v>
      </c>
      <c r="K7" t="str">
        <f>IF(T_ESTADO[[#This Row],[MORA]]&lt;0,"RETRAZO","")</f>
        <v/>
      </c>
      <c r="L7">
        <v>2</v>
      </c>
    </row>
    <row r="8" spans="2:12" x14ac:dyDescent="0.25">
      <c r="B8" t="s">
        <v>31</v>
      </c>
      <c r="C8" t="str">
        <f>VLOOKUP(T_ESTADO[[#This Row],[COD CLIENTE]],T_CLIENTES[],2,FALSE)</f>
        <v>Liz Ríos Sanchez</v>
      </c>
      <c r="D8" t="s">
        <v>40</v>
      </c>
      <c r="E8" t="s">
        <v>48</v>
      </c>
      <c r="F8" s="19">
        <v>46316</v>
      </c>
      <c r="G8">
        <v>5000</v>
      </c>
      <c r="I8" t="str">
        <f ca="1">IF(ISNUMBER(T_ESTADO[[#This Row],[FECHA PAGO]]),"PAGADO",IF(T_ESTADO[[#This Row],[FECHA VENCIMIENTO]]&gt;$C$1,"PENDIENTE",IF(T_ESTADO[[#This Row],[FECHA VENCIMIENTO]]&lt;$C$1,"VENCIDO","")))</f>
        <v>PENDIENTE</v>
      </c>
      <c r="J8" t="str">
        <f>IF(T_ESTADO[[#This Row],[FECHA PAGO]]&gt;T_ESTADO[[#This Row],[FECHA VENCIMIENTO]],T_ESTADO[[#This Row],[FECHA VENCIMIENTO]]-T_ESTADO[[#This Row],[FECHA PAGO]],"0")</f>
        <v>0</v>
      </c>
      <c r="K8" t="str">
        <f>IF(T_ESTADO[[#This Row],[MORA]]&lt;0,"RETRAZO","")</f>
        <v/>
      </c>
      <c r="L8">
        <v>2</v>
      </c>
    </row>
    <row r="9" spans="2:12" ht="15.75" thickBot="1" x14ac:dyDescent="0.3">
      <c r="B9" s="17" t="s">
        <v>31</v>
      </c>
      <c r="C9" s="17" t="str">
        <f>VLOOKUP(T_ESTADO[[#This Row],[COD CLIENTE]],T_CLIENTES[],2,FALSE)</f>
        <v>Liz Ríos Sanchez</v>
      </c>
      <c r="D9" s="17" t="s">
        <v>40</v>
      </c>
      <c r="E9" s="17" t="s">
        <v>51</v>
      </c>
      <c r="F9" s="18">
        <v>46347</v>
      </c>
      <c r="G9" s="17">
        <v>5000</v>
      </c>
      <c r="H9" s="17"/>
      <c r="I9" s="17" t="str">
        <f ca="1">IF(ISNUMBER(T_ESTADO[[#This Row],[FECHA PAGO]]),"PAGADO",IF(T_ESTADO[[#This Row],[FECHA VENCIMIENTO]]&gt;$C$1,"PENDIENTE",IF(T_ESTADO[[#This Row],[FECHA VENCIMIENTO]]&lt;$C$1,"VENCIDO","")))</f>
        <v>PENDIENTE</v>
      </c>
      <c r="J9" s="17" t="str">
        <f>IF(T_ESTADO[[#This Row],[FECHA PAGO]]&gt;T_ESTADO[[#This Row],[FECHA VENCIMIENTO]],T_ESTADO[[#This Row],[FECHA VENCIMIENTO]]-T_ESTADO[[#This Row],[FECHA PAGO]],"0")</f>
        <v>0</v>
      </c>
      <c r="K9" s="17" t="str">
        <f>IF(T_ESTADO[[#This Row],[MORA]]&lt;0,"RETRAZO","")</f>
        <v/>
      </c>
      <c r="L9" s="17">
        <v>2</v>
      </c>
    </row>
    <row r="10" spans="2:12" x14ac:dyDescent="0.25">
      <c r="B10" t="s">
        <v>31</v>
      </c>
      <c r="C10" t="str">
        <f>VLOOKUP(T_ESTADO[[#This Row],[COD CLIENTE]],T_CLIENTES[],2,FALSE)</f>
        <v>Liz Ríos Sanchez</v>
      </c>
      <c r="D10" t="s">
        <v>40</v>
      </c>
      <c r="E10" t="s">
        <v>50</v>
      </c>
      <c r="F10" s="19">
        <v>46255</v>
      </c>
      <c r="G10">
        <v>3333.3333333333335</v>
      </c>
      <c r="H10" s="19">
        <v>46255</v>
      </c>
      <c r="I10" t="str">
        <f>IF(ISNUMBER(T_ESTADO[[#This Row],[FECHA PAGO]]),"PAGADO",IF(T_ESTADO[[#This Row],[FECHA VENCIMIENTO]]&gt;$C$1,"PENDIENTE",IF(T_ESTADO[[#This Row],[FECHA VENCIMIENTO]]&lt;$C$1,"VENCIDO","")))</f>
        <v>PAGADO</v>
      </c>
      <c r="J10" t="str">
        <f>IF(T_ESTADO[[#This Row],[FECHA PAGO]]&gt;T_ESTADO[[#This Row],[FECHA VENCIMIENTO]],T_ESTADO[[#This Row],[FECHA VENCIMIENTO]]-T_ESTADO[[#This Row],[FECHA PAGO]],"0")</f>
        <v>0</v>
      </c>
      <c r="K10" t="str">
        <f>IF(T_ESTADO[[#This Row],[MORA]]&lt;0,"RETRAZO","")</f>
        <v/>
      </c>
      <c r="L10">
        <v>1</v>
      </c>
    </row>
    <row r="11" spans="2:12" x14ac:dyDescent="0.25">
      <c r="B11" t="s">
        <v>31</v>
      </c>
      <c r="C11" t="str">
        <f>VLOOKUP(T_ESTADO[[#This Row],[COD CLIENTE]],T_CLIENTES[],2,FALSE)</f>
        <v>Liz Ríos Sanchez</v>
      </c>
      <c r="D11" t="s">
        <v>40</v>
      </c>
      <c r="E11" t="s">
        <v>49</v>
      </c>
      <c r="F11" s="19">
        <v>46286</v>
      </c>
      <c r="G11">
        <v>3333.3333333333335</v>
      </c>
      <c r="I11" t="str">
        <f ca="1">IF(ISNUMBER(T_ESTADO[[#This Row],[FECHA PAGO]]),"PAGADO",IF(T_ESTADO[[#This Row],[FECHA VENCIMIENTO]]&gt;$C$1,"PENDIENTE",IF(T_ESTADO[[#This Row],[FECHA VENCIMIENTO]]&lt;$C$1,"VENCIDO","")))</f>
        <v>PENDIENTE</v>
      </c>
      <c r="J11" t="str">
        <f>IF(T_ESTADO[[#This Row],[FECHA PAGO]]&gt;T_ESTADO[[#This Row],[FECHA VENCIMIENTO]],T_ESTADO[[#This Row],[FECHA VENCIMIENTO]]-T_ESTADO[[#This Row],[FECHA PAGO]],"0")</f>
        <v>0</v>
      </c>
      <c r="K11" t="str">
        <f>IF(T_ESTADO[[#This Row],[MORA]]&lt;0,"RETRAZO","")</f>
        <v/>
      </c>
      <c r="L11">
        <v>1</v>
      </c>
    </row>
    <row r="12" spans="2:12" ht="15.75" thickBot="1" x14ac:dyDescent="0.3">
      <c r="B12" s="17" t="s">
        <v>31</v>
      </c>
      <c r="C12" s="17" t="str">
        <f>VLOOKUP(T_ESTADO[[#This Row],[COD CLIENTE]],T_CLIENTES[],2,FALSE)</f>
        <v>Liz Ríos Sanchez</v>
      </c>
      <c r="D12" s="17" t="s">
        <v>40</v>
      </c>
      <c r="E12" s="17" t="s">
        <v>48</v>
      </c>
      <c r="F12" s="18">
        <v>46316</v>
      </c>
      <c r="G12" s="17">
        <v>3333.3333333333335</v>
      </c>
      <c r="H12" s="17"/>
      <c r="I12" s="17" t="str">
        <f ca="1">IF(ISNUMBER(T_ESTADO[[#This Row],[FECHA PAGO]]),"PAGADO",IF(T_ESTADO[[#This Row],[FECHA VENCIMIENTO]]&gt;$C$1,"PENDIENTE",IF(T_ESTADO[[#This Row],[FECHA VENCIMIENTO]]&lt;$C$1,"VENCIDO","")))</f>
        <v>PENDIENTE</v>
      </c>
      <c r="J12" s="17" t="str">
        <f>IF(T_ESTADO[[#This Row],[FECHA PAGO]]&gt;T_ESTADO[[#This Row],[FECHA VENCIMIENTO]],T_ESTADO[[#This Row],[FECHA VENCIMIENTO]]-T_ESTADO[[#This Row],[FECHA PAGO]],"0")</f>
        <v>0</v>
      </c>
      <c r="K12" s="17" t="str">
        <f>IF(T_ESTADO[[#This Row],[MORA]]&lt;0,"RETRAZO","")</f>
        <v/>
      </c>
      <c r="L12" s="17">
        <v>1</v>
      </c>
    </row>
  </sheetData>
  <conditionalFormatting sqref="I6:I12">
    <cfRule type="cellIs" dxfId="9" priority="1" operator="equal">
      <formula>"PAGADO"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TextBox1">
          <controlPr defaultSize="0" autoLin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2</xdr:col>
                <xdr:colOff>2057400</xdr:colOff>
                <xdr:row>3</xdr:row>
                <xdr:rowOff>47625</xdr:rowOff>
              </to>
            </anchor>
          </controlPr>
        </control>
      </mc:Choice>
      <mc:Fallback>
        <control shapeId="4097" r:id="rId3" name="TextBox1"/>
      </mc:Fallback>
    </mc:AlternateContent>
    <mc:AlternateContent xmlns:mc="http://schemas.openxmlformats.org/markup-compatibility/2006">
      <mc:Choice Requires="x14">
        <control shapeId="4098" r:id="rId5" name="TextBox2">
          <controlPr defaultSize="0" autoLine="0" r:id="rId6">
            <anchor moveWithCells="1">
              <from>
                <xdr:col>3</xdr:col>
                <xdr:colOff>47625</xdr:colOff>
                <xdr:row>2</xdr:row>
                <xdr:rowOff>0</xdr:rowOff>
              </from>
              <to>
                <xdr:col>4</xdr:col>
                <xdr:colOff>276225</xdr:colOff>
                <xdr:row>3</xdr:row>
                <xdr:rowOff>66675</xdr:rowOff>
              </to>
            </anchor>
          </controlPr>
        </control>
      </mc:Choice>
      <mc:Fallback>
        <control shapeId="4098" r:id="rId5" name="TextBox2"/>
      </mc:Fallback>
    </mc:AlternateContent>
  </controls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E8817-BC6C-4E5E-9442-46EDB6A9597E}">
  <sheetPr codeName="Hoja4">
    <tabColor theme="9" tint="-0.249977111117893"/>
  </sheetPr>
  <dimension ref="C1:M7"/>
  <sheetViews>
    <sheetView workbookViewId="0">
      <selection activeCell="G12" sqref="G12"/>
    </sheetView>
  </sheetViews>
  <sheetFormatPr baseColWidth="10" defaultRowHeight="15" x14ac:dyDescent="0.25"/>
  <cols>
    <col min="3" max="3" width="17.7109375" customWidth="1"/>
    <col min="4" max="4" width="16.28515625" customWidth="1"/>
    <col min="5" max="5" width="25.42578125" customWidth="1"/>
    <col min="6" max="6" width="21" customWidth="1"/>
    <col min="7" max="7" width="24" customWidth="1"/>
    <col min="8" max="8" width="14.28515625" customWidth="1"/>
    <col min="9" max="9" width="18.7109375" style="22" customWidth="1"/>
    <col min="10" max="10" width="18.140625" customWidth="1"/>
    <col min="11" max="11" width="14" customWidth="1"/>
    <col min="12" max="12" width="12.85546875" customWidth="1"/>
    <col min="13" max="13" width="21.42578125" customWidth="1"/>
  </cols>
  <sheetData>
    <row r="1" spans="3:13" ht="33.75" customHeight="1" x14ac:dyDescent="0.25">
      <c r="C1" s="1"/>
      <c r="D1" s="32" t="s">
        <v>46</v>
      </c>
      <c r="E1" s="32"/>
      <c r="F1" s="1"/>
      <c r="G1" s="1"/>
      <c r="H1" s="1"/>
      <c r="I1" s="21"/>
      <c r="J1" s="1"/>
      <c r="K1" s="1"/>
      <c r="L1" s="1"/>
      <c r="M1" s="1"/>
    </row>
    <row r="2" spans="3:13" x14ac:dyDescent="0.25">
      <c r="C2" s="1"/>
      <c r="D2" s="1"/>
      <c r="E2" s="1"/>
      <c r="F2" s="1"/>
      <c r="G2" s="1"/>
      <c r="H2" s="1"/>
      <c r="I2" s="21"/>
      <c r="J2" s="1"/>
      <c r="K2" s="1"/>
      <c r="L2" s="1"/>
      <c r="M2" s="1"/>
    </row>
    <row r="3" spans="3:13" x14ac:dyDescent="0.25">
      <c r="C3" s="1"/>
      <c r="D3" s="1"/>
      <c r="E3" s="1"/>
      <c r="F3" s="1"/>
      <c r="G3" s="1"/>
      <c r="H3" s="1"/>
      <c r="I3" s="21"/>
      <c r="J3" s="1"/>
      <c r="K3" s="1"/>
      <c r="L3" s="1"/>
      <c r="M3" s="1"/>
    </row>
    <row r="4" spans="3:13" x14ac:dyDescent="0.25">
      <c r="C4" s="1"/>
      <c r="D4" s="1"/>
      <c r="E4" s="1"/>
      <c r="F4" s="1"/>
      <c r="G4" s="1"/>
      <c r="H4" s="1"/>
      <c r="I4" s="21"/>
      <c r="J4" s="1"/>
      <c r="K4" s="1"/>
      <c r="L4" s="1"/>
      <c r="M4" s="1"/>
    </row>
    <row r="5" spans="3:13" x14ac:dyDescent="0.25">
      <c r="C5" t="s">
        <v>15</v>
      </c>
      <c r="D5" t="s">
        <v>16</v>
      </c>
      <c r="E5" t="s">
        <v>5</v>
      </c>
      <c r="F5" t="s">
        <v>17</v>
      </c>
      <c r="G5" t="s">
        <v>18</v>
      </c>
      <c r="H5" t="s">
        <v>6</v>
      </c>
      <c r="I5" s="22" t="s">
        <v>25</v>
      </c>
      <c r="J5" t="s">
        <v>19</v>
      </c>
      <c r="K5" s="24" t="s">
        <v>20</v>
      </c>
      <c r="L5" t="s">
        <v>21</v>
      </c>
      <c r="M5" t="s">
        <v>22</v>
      </c>
    </row>
    <row r="6" spans="3:13" x14ac:dyDescent="0.25">
      <c r="C6">
        <v>2</v>
      </c>
      <c r="D6" t="s">
        <v>31</v>
      </c>
      <c r="E6" t="str">
        <f>VLOOKUP(T_RESUMEN[[#This Row],[COD_CLIE]],T_CLIENTES[],2,FALSE)</f>
        <v>Liz Ríos Sanchez</v>
      </c>
      <c r="F6" s="19">
        <v>46224</v>
      </c>
      <c r="G6" s="20">
        <v>20000</v>
      </c>
      <c r="H6" t="s">
        <v>40</v>
      </c>
      <c r="I6" s="22">
        <v>0.2</v>
      </c>
      <c r="J6">
        <f ca="1">SUMIFS(T_ESTADO[IMPORTE CUOTA],T_ESTADO[CÓDIGO PRESTAMO],T_RESUMEN[[#This Row],[COD PRESTAMO]],T_ESTADO[ESTADO],"PAGADO")</f>
        <v>0</v>
      </c>
      <c r="K6" s="24">
        <f ca="1">T_RESUMEN[[#This Row],[MONTO PAGADO]]-T_RESUMEN[[#This Row],[IMPORTE DEL CRÉDITO]]</f>
        <v>-20000</v>
      </c>
      <c r="L6" s="20">
        <f ca="1">((T_RESUMEN[[#This Row],[IMPORTE DEL CRÉDITO]]*T_RESUMEN[[#This Row],[TASA DE INTERES]])+T_RESUMEN[[#This Row],[IMPORTE DEL CRÉDITO]])-T_RESUMEN[[#This Row],[MONTO PAGADO]]</f>
        <v>24000</v>
      </c>
      <c r="M6">
        <f>COUNTIFS(T_ESTADO[CÓDIGO PRESTAMO],T_RESUMEN[[#This Row],[COD PRESTAMO]],T_ESTADO[FECHA PAGO],"")</f>
        <v>4</v>
      </c>
    </row>
    <row r="7" spans="3:13" x14ac:dyDescent="0.25">
      <c r="C7">
        <v>1</v>
      </c>
      <c r="D7" t="s">
        <v>31</v>
      </c>
      <c r="E7" t="str">
        <f>VLOOKUP(T_RESUMEN[[#This Row],[COD_CLIE]],T_CLIENTES[],2,FALSE)</f>
        <v>Liz Ríos Sanchez</v>
      </c>
      <c r="F7" s="19">
        <v>46224</v>
      </c>
      <c r="G7" s="20">
        <v>10000</v>
      </c>
      <c r="H7" t="s">
        <v>40</v>
      </c>
      <c r="I7" s="22">
        <v>0.02</v>
      </c>
      <c r="J7">
        <f ca="1">SUMIFS(T_ESTADO[IMPORTE CUOTA],T_ESTADO[CÓDIGO PRESTAMO],T_RESUMEN[[#This Row],[COD PRESTAMO]],T_ESTADO[ESTADO],"PAGADO")</f>
        <v>3333.3333333333335</v>
      </c>
      <c r="K7" s="24">
        <f ca="1">T_RESUMEN[[#This Row],[MONTO PAGADO]]-T_RESUMEN[[#This Row],[IMPORTE DEL CRÉDITO]]</f>
        <v>-6666.6666666666661</v>
      </c>
      <c r="L7" s="20">
        <f ca="1">((T_RESUMEN[[#This Row],[IMPORTE DEL CRÉDITO]]*T_RESUMEN[[#This Row],[TASA DE INTERES]])+T_RESUMEN[[#This Row],[IMPORTE DEL CRÉDITO]])-T_RESUMEN[[#This Row],[MONTO PAGADO]]</f>
        <v>6866.6666666666661</v>
      </c>
      <c r="M7">
        <f>COUNTIFS(T_ESTADO[CÓDIGO PRESTAMO],T_RESUMEN[[#This Row],[COD PRESTAMO]],T_ESTADO[FECHA PAGO],"")</f>
        <v>2</v>
      </c>
    </row>
  </sheetData>
  <mergeCells count="1">
    <mergeCell ref="D1:E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TextBox1">
          <controlPr defaultSize="0" autoLine="0" r:id="rId4">
            <anchor moveWithCells="1">
              <from>
                <xdr:col>3</xdr:col>
                <xdr:colOff>0</xdr:colOff>
                <xdr:row>1</xdr:row>
                <xdr:rowOff>0</xdr:rowOff>
              </from>
              <to>
                <xdr:col>4</xdr:col>
                <xdr:colOff>1495425</xdr:colOff>
                <xdr:row>3</xdr:row>
                <xdr:rowOff>19050</xdr:rowOff>
              </to>
            </anchor>
          </controlPr>
        </control>
      </mc:Choice>
      <mc:Fallback>
        <control shapeId="2049" r:id="rId3" name="TextBox1"/>
      </mc:Fallback>
    </mc:AlternateContent>
  </controls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E9ED5-78B9-4103-A933-D9BCF997362A}">
  <dimension ref="A1:C15"/>
  <sheetViews>
    <sheetView workbookViewId="0">
      <selection activeCell="F19" sqref="F19"/>
    </sheetView>
  </sheetViews>
  <sheetFormatPr baseColWidth="10" defaultRowHeight="15" x14ac:dyDescent="0.25"/>
  <cols>
    <col min="1" max="1" width="23.140625" bestFit="1" customWidth="1"/>
    <col min="3" max="3" width="9.7109375" bestFit="1" customWidth="1"/>
  </cols>
  <sheetData>
    <row r="1" spans="1:3" ht="18.75" x14ac:dyDescent="0.3">
      <c r="A1" s="27" t="s">
        <v>53</v>
      </c>
      <c r="B1" s="28"/>
      <c r="C1" s="28"/>
    </row>
    <row r="3" spans="1:3" x14ac:dyDescent="0.25">
      <c r="A3" s="29" t="s">
        <v>37</v>
      </c>
      <c r="B3" s="29"/>
      <c r="C3" s="29" t="s">
        <v>42</v>
      </c>
    </row>
    <row r="4" spans="1:3" x14ac:dyDescent="0.25">
      <c r="A4" t="s">
        <v>38</v>
      </c>
      <c r="C4">
        <v>1</v>
      </c>
    </row>
    <row r="5" spans="1:3" x14ac:dyDescent="0.25">
      <c r="A5" t="s">
        <v>39</v>
      </c>
      <c r="C5">
        <v>2</v>
      </c>
    </row>
    <row r="6" spans="1:3" x14ac:dyDescent="0.25">
      <c r="A6" t="s">
        <v>40</v>
      </c>
      <c r="C6">
        <v>3</v>
      </c>
    </row>
    <row r="7" spans="1:3" x14ac:dyDescent="0.25">
      <c r="A7" t="s">
        <v>41</v>
      </c>
      <c r="C7">
        <v>4</v>
      </c>
    </row>
    <row r="8" spans="1:3" x14ac:dyDescent="0.25">
      <c r="C8">
        <v>5</v>
      </c>
    </row>
    <row r="9" spans="1:3" x14ac:dyDescent="0.25">
      <c r="C9">
        <v>6</v>
      </c>
    </row>
    <row r="10" spans="1:3" x14ac:dyDescent="0.25">
      <c r="C10">
        <v>7</v>
      </c>
    </row>
    <row r="11" spans="1:3" x14ac:dyDescent="0.25">
      <c r="C11">
        <v>8</v>
      </c>
    </row>
    <row r="12" spans="1:3" x14ac:dyDescent="0.25">
      <c r="C12">
        <v>9</v>
      </c>
    </row>
    <row r="13" spans="1:3" x14ac:dyDescent="0.25">
      <c r="C13">
        <v>10</v>
      </c>
    </row>
    <row r="14" spans="1:3" x14ac:dyDescent="0.25">
      <c r="C14">
        <v>11</v>
      </c>
    </row>
    <row r="15" spans="1:3" x14ac:dyDescent="0.25">
      <c r="C15">
        <v>12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CLIENTE</vt:lpstr>
      <vt:lpstr>CALCULADORA</vt:lpstr>
      <vt:lpstr>ESTADO</vt:lpstr>
      <vt:lpstr>RESUMEN</vt:lpstr>
      <vt:lpstr>LISTAS</vt:lpstr>
      <vt:lpstr>CUOTAS</vt:lpstr>
      <vt:lpstr>MODALIDAD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data Student_</dc:creator>
  <cp:lastModifiedBy>data Student_</cp:lastModifiedBy>
  <dcterms:created xsi:type="dcterms:W3CDTF">2026-07-21T14:48:55Z</dcterms:created>
  <dcterms:modified xsi:type="dcterms:W3CDTF">2026-07-22T23:50:02Z</dcterms:modified>
</cp:coreProperties>
</file>